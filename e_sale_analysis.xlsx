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Miroslav1\Desktop\MARINA\PROJEKAT ZA CV\"/>
    </mc:Choice>
  </mc:AlternateContent>
  <bookViews>
    <workbookView xWindow="0" yWindow="0" windowWidth="21540" windowHeight="10875" activeTab="4"/>
  </bookViews>
  <sheets>
    <sheet name="Total_Sales_by_Category_Year" sheetId="7" r:id="rId1"/>
    <sheet name="Sales_by_month" sheetId="6" r:id="rId2"/>
    <sheet name="Top_customers_by_revenue" sheetId="4" r:id="rId3"/>
    <sheet name="Average_Order_Value " sheetId="5" r:id="rId4"/>
    <sheet name="e_sale_analysis_final_data" sheetId="1" r:id="rId5"/>
  </sheets>
  <calcPr calcId="0"/>
  <pivotCaches>
    <pivotCache cacheId="1" r:id="rId6"/>
    <pivotCache cacheId="0" r:id="rId7"/>
  </pivotCaches>
</workbook>
</file>

<file path=xl/sharedStrings.xml><?xml version="1.0" encoding="utf-8"?>
<sst xmlns="http://schemas.openxmlformats.org/spreadsheetml/2006/main" count="210" uniqueCount="70">
  <si>
    <t>id_order</t>
  </si>
  <si>
    <t>order_date</t>
  </si>
  <si>
    <t>order_status</t>
  </si>
  <si>
    <t>id_customer</t>
  </si>
  <si>
    <t>first_name</t>
  </si>
  <si>
    <t>last_name</t>
  </si>
  <si>
    <t>e_mail</t>
  </si>
  <si>
    <t>country</t>
  </si>
  <si>
    <t>city</t>
  </si>
  <si>
    <t>id_product</t>
  </si>
  <si>
    <t>product_name</t>
  </si>
  <si>
    <t>category</t>
  </si>
  <si>
    <t>quantity</t>
  </si>
  <si>
    <t>price</t>
  </si>
  <si>
    <t>order_total</t>
  </si>
  <si>
    <t>Completed</t>
  </si>
  <si>
    <t>Marina</t>
  </si>
  <si>
    <t>Kovacevic</t>
  </si>
  <si>
    <t>marina.kovacevic@gmail.com</t>
  </si>
  <si>
    <t>Serbia</t>
  </si>
  <si>
    <t>Indjija</t>
  </si>
  <si>
    <t>Dress</t>
  </si>
  <si>
    <t>Clothing</t>
  </si>
  <si>
    <t>Handbag</t>
  </si>
  <si>
    <t>Accessories</t>
  </si>
  <si>
    <t>Ivana</t>
  </si>
  <si>
    <t>Banovic</t>
  </si>
  <si>
    <t>banovic.ivana@gmail.com</t>
  </si>
  <si>
    <t>Subotica</t>
  </si>
  <si>
    <t>Leather Boots</t>
  </si>
  <si>
    <t>Shoes</t>
  </si>
  <si>
    <t>Petar</t>
  </si>
  <si>
    <t>Petrovic</t>
  </si>
  <si>
    <t>p.petrovic@yahoo.com</t>
  </si>
  <si>
    <t>Belgrade</t>
  </si>
  <si>
    <t>Sneakers</t>
  </si>
  <si>
    <t>Men Belt</t>
  </si>
  <si>
    <t>Men Wallet</t>
  </si>
  <si>
    <t>Pending</t>
  </si>
  <si>
    <t>Men T-Shirt</t>
  </si>
  <si>
    <t>Ana</t>
  </si>
  <si>
    <t>Nikolic</t>
  </si>
  <si>
    <t>ana.nn@gmail.com</t>
  </si>
  <si>
    <t>Novi Sad</t>
  </si>
  <si>
    <t>Nikola</t>
  </si>
  <si>
    <t>Savic</t>
  </si>
  <si>
    <t>nikola.savic@yahoo.com</t>
  </si>
  <si>
    <t>Jelena</t>
  </si>
  <si>
    <t>Stojanovic</t>
  </si>
  <si>
    <t>s.jelena@gmail.com</t>
  </si>
  <si>
    <t>Kragujevac</t>
  </si>
  <si>
    <t>Row Labels</t>
  </si>
  <si>
    <t>Grand Total</t>
  </si>
  <si>
    <t>Sum of order_total</t>
  </si>
  <si>
    <t>2023</t>
  </si>
  <si>
    <t>Nov</t>
  </si>
  <si>
    <t>2024</t>
  </si>
  <si>
    <t>Feb</t>
  </si>
  <si>
    <t>Apr</t>
  </si>
  <si>
    <t>May</t>
  </si>
  <si>
    <t>Jun</t>
  </si>
  <si>
    <t>2025</t>
  </si>
  <si>
    <t>Jan</t>
  </si>
  <si>
    <t>Mar</t>
  </si>
  <si>
    <t>2026</t>
  </si>
  <si>
    <t>Average of order_total</t>
  </si>
  <si>
    <t>Years</t>
  </si>
  <si>
    <t>Accessories Total</t>
  </si>
  <si>
    <t>Clothing Total</t>
  </si>
  <si>
    <t>Shoes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</si>
</sst>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RSD]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CC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22" fontId="0" fillId="0" borderId="0" xfId="0" applyNumberFormat="1" applyAlignment="1">
      <alignment horizontal="left" indent="1"/>
    </xf>
    <xf numFmtId="0" fontId="18" fillId="0" borderId="0" xfId="0" applyFont="1"/>
    <xf numFmtId="164" fontId="18" fillId="0" borderId="0" xfId="0" applyNumberFormat="1" applyFo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0000CC"/>
      </font>
    </dxf>
    <dxf>
      <font>
        <color rgb="FF0000CC"/>
      </font>
    </dxf>
    <dxf>
      <font>
        <color rgb="FF0000CC"/>
      </font>
    </dxf>
    <dxf>
      <numFmt numFmtId="27" formatCode="m/d/yyyy\ h:mm"/>
    </dxf>
  </dxfs>
  <tableStyles count="0" defaultTableStyle="TableStyleMedium2" defaultPivotStyle="PivotStyleLight16"/>
  <colors>
    <mruColors>
      <color rgb="FF0000CC"/>
      <color rgb="FF00FFFF"/>
      <color rgb="FFD03069"/>
      <color rgb="FFFF4BF2"/>
      <color rgb="FF008DF6"/>
      <color rgb="FF050875"/>
      <color rgb="FFADF5FF"/>
      <color rgb="FFAD23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[e_sale_analysis.xlsx]Total_Sales_by_Category_Year!PivotTable1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baseline="0">
                <a:solidFill>
                  <a:srgbClr val="050875"/>
                </a:solidFill>
              </a:rPr>
              <a:t>Total Sales by Category and Year</a:t>
            </a:r>
            <a:endParaRPr lang="en-US">
              <a:solidFill>
                <a:srgbClr val="050875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1.6666666666666614E-2"/>
              <c:y val="-9.7222222222222224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-2.2222222222222324E-2"/>
              <c:y val="-0.18055555555555561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6.9553109768827111E-3"/>
              <c:y val="-0.112428618616342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2.0865932930648212E-2"/>
              <c:y val="-0.161616139260992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1.6692746344518568E-2"/>
              <c:y val="-0.224857237232684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2.7821243907530949E-2"/>
              <c:y val="-0.112428618616342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8.3463731722592839E-3"/>
              <c:y val="-0.186209899583316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-9.7374353676358324E-3"/>
              <c:y val="-8.08080696304960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4.173186586129642E-3"/>
              <c:y val="-8.0808069630496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-4.173186586129642E-3"/>
              <c:y val="-7.37812809669746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-4.1731865861297443E-3"/>
              <c:y val="-0.147562561933949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1.3910621953765474E-3"/>
              <c:y val="-0.256477786218530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6.9553109768827111E-3"/>
              <c:y val="-0.112428618616342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1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1.6692746344518568E-2"/>
              <c:y val="-0.224857237232684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2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2.0865932930648212E-2"/>
              <c:y val="-0.161616139260992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3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2.7821243907530949E-2"/>
              <c:y val="-0.112428618616342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4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8.3463731722592839E-3"/>
              <c:y val="-0.186209899583316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5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-9.7374353676358324E-3"/>
              <c:y val="-8.08080696304960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6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4.173186586129642E-3"/>
              <c:y val="-8.0808069630496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7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-4.173186586129642E-3"/>
              <c:y val="-7.37812809669746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8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-4.1731865861297443E-3"/>
              <c:y val="-0.147562561933949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9"/>
        <c:spPr>
          <a:solidFill>
            <a:srgbClr val="ADF5FF">
              <a:alpha val="85000"/>
            </a:srgbClr>
          </a:solidFill>
          <a:ln w="9525" cap="flat" cmpd="sng" algn="ctr">
            <a:solidFill>
              <a:srgbClr val="050875"/>
            </a:solidFill>
            <a:round/>
          </a:ln>
          <a:effectLst/>
          <a:sp3d contourW="9525">
            <a:contourClr>
              <a:srgbClr val="050875"/>
            </a:contourClr>
          </a:sp3d>
        </c:spPr>
        <c:dLbl>
          <c:idx val="0"/>
          <c:layout>
            <c:manualLayout>
              <c:x val="1.3910621953765474E-3"/>
              <c:y val="-0.256477786218530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159507734853469"/>
          <c:y val="0.13368742077572426"/>
          <c:w val="0.89840492265146532"/>
          <c:h val="0.7356732355152710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Total_Sales_by_Category_Year!$C$3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DF5FF">
                <a:alpha val="85000"/>
              </a:srgbClr>
            </a:solidFill>
            <a:ln w="9525" cap="flat" cmpd="sng" algn="ctr">
              <a:solidFill>
                <a:srgbClr val="050875"/>
              </a:solidFill>
              <a:round/>
            </a:ln>
            <a:effectLst/>
            <a:sp3d contourW="9525">
              <a:contourClr>
                <a:srgbClr val="050875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ADF5FF">
                  <a:alpha val="85000"/>
                </a:srgbClr>
              </a:solidFill>
              <a:ln w="9525" cap="flat" cmpd="sng" algn="ctr">
                <a:solidFill>
                  <a:srgbClr val="050875"/>
                </a:solidFill>
                <a:round/>
              </a:ln>
              <a:effectLst/>
              <a:sp3d contourW="9525">
                <a:contourClr>
                  <a:srgbClr val="050875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DF-4D64-9C00-39FA18A757E2}"/>
              </c:ext>
            </c:extLst>
          </c:dPt>
          <c:dPt>
            <c:idx val="1"/>
            <c:invertIfNegative val="0"/>
            <c:bubble3D val="0"/>
            <c:spPr>
              <a:solidFill>
                <a:srgbClr val="ADF5FF">
                  <a:alpha val="85000"/>
                </a:srgbClr>
              </a:solidFill>
              <a:ln w="9525" cap="flat" cmpd="sng" algn="ctr">
                <a:solidFill>
                  <a:srgbClr val="050875"/>
                </a:solidFill>
                <a:round/>
              </a:ln>
              <a:effectLst/>
              <a:sp3d contourW="9525">
                <a:contourClr>
                  <a:srgbClr val="050875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DF-4D64-9C00-39FA18A757E2}"/>
              </c:ext>
            </c:extLst>
          </c:dPt>
          <c:dPt>
            <c:idx val="2"/>
            <c:invertIfNegative val="0"/>
            <c:bubble3D val="0"/>
            <c:spPr>
              <a:solidFill>
                <a:srgbClr val="ADF5FF">
                  <a:alpha val="85000"/>
                </a:srgbClr>
              </a:solidFill>
              <a:ln w="9525" cap="flat" cmpd="sng" algn="ctr">
                <a:solidFill>
                  <a:srgbClr val="050875"/>
                </a:solidFill>
                <a:round/>
              </a:ln>
              <a:effectLst/>
              <a:sp3d contourW="9525">
                <a:contourClr>
                  <a:srgbClr val="050875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DF-4D64-9C00-39FA18A757E2}"/>
              </c:ext>
            </c:extLst>
          </c:dPt>
          <c:dPt>
            <c:idx val="3"/>
            <c:invertIfNegative val="0"/>
            <c:bubble3D val="0"/>
            <c:spPr>
              <a:solidFill>
                <a:srgbClr val="ADF5FF">
                  <a:alpha val="85000"/>
                </a:srgbClr>
              </a:solidFill>
              <a:ln w="9525" cap="flat" cmpd="sng" algn="ctr">
                <a:solidFill>
                  <a:srgbClr val="050875"/>
                </a:solidFill>
                <a:round/>
              </a:ln>
              <a:effectLst/>
              <a:sp3d contourW="9525">
                <a:contourClr>
                  <a:srgbClr val="050875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DF-4D64-9C00-39FA18A757E2}"/>
              </c:ext>
            </c:extLst>
          </c:dPt>
          <c:dPt>
            <c:idx val="4"/>
            <c:invertIfNegative val="0"/>
            <c:bubble3D val="0"/>
            <c:spPr>
              <a:solidFill>
                <a:srgbClr val="ADF5FF">
                  <a:alpha val="85000"/>
                </a:srgbClr>
              </a:solidFill>
              <a:ln w="9525" cap="flat" cmpd="sng" algn="ctr">
                <a:solidFill>
                  <a:srgbClr val="050875"/>
                </a:solidFill>
                <a:round/>
              </a:ln>
              <a:effectLst/>
              <a:sp3d contourW="9525">
                <a:contourClr>
                  <a:srgbClr val="050875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DF-4D64-9C00-39FA18A757E2}"/>
              </c:ext>
            </c:extLst>
          </c:dPt>
          <c:dPt>
            <c:idx val="5"/>
            <c:invertIfNegative val="0"/>
            <c:bubble3D val="0"/>
            <c:spPr>
              <a:solidFill>
                <a:srgbClr val="ADF5FF">
                  <a:alpha val="85000"/>
                </a:srgbClr>
              </a:solidFill>
              <a:ln w="9525" cap="flat" cmpd="sng" algn="ctr">
                <a:solidFill>
                  <a:srgbClr val="050875"/>
                </a:solidFill>
                <a:round/>
              </a:ln>
              <a:effectLst/>
              <a:sp3d contourW="9525">
                <a:contourClr>
                  <a:srgbClr val="050875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DF-4D64-9C00-39FA18A757E2}"/>
              </c:ext>
            </c:extLst>
          </c:dPt>
          <c:dPt>
            <c:idx val="6"/>
            <c:invertIfNegative val="0"/>
            <c:bubble3D val="0"/>
            <c:spPr>
              <a:solidFill>
                <a:srgbClr val="ADF5FF">
                  <a:alpha val="85000"/>
                </a:srgbClr>
              </a:solidFill>
              <a:ln w="9525" cap="flat" cmpd="sng" algn="ctr">
                <a:solidFill>
                  <a:srgbClr val="050875"/>
                </a:solidFill>
                <a:round/>
              </a:ln>
              <a:effectLst/>
              <a:sp3d contourW="9525">
                <a:contourClr>
                  <a:srgbClr val="050875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DF-4D64-9C00-39FA18A757E2}"/>
              </c:ext>
            </c:extLst>
          </c:dPt>
          <c:dPt>
            <c:idx val="7"/>
            <c:invertIfNegative val="0"/>
            <c:bubble3D val="0"/>
            <c:spPr>
              <a:solidFill>
                <a:srgbClr val="ADF5FF">
                  <a:alpha val="85000"/>
                </a:srgbClr>
              </a:solidFill>
              <a:ln w="9525" cap="flat" cmpd="sng" algn="ctr">
                <a:solidFill>
                  <a:srgbClr val="050875"/>
                </a:solidFill>
                <a:round/>
              </a:ln>
              <a:effectLst/>
              <a:sp3d contourW="9525">
                <a:contourClr>
                  <a:srgbClr val="050875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DF-4D64-9C00-39FA18A757E2}"/>
              </c:ext>
            </c:extLst>
          </c:dPt>
          <c:dPt>
            <c:idx val="8"/>
            <c:invertIfNegative val="0"/>
            <c:bubble3D val="0"/>
            <c:spPr>
              <a:solidFill>
                <a:srgbClr val="ADF5FF">
                  <a:alpha val="85000"/>
                </a:srgbClr>
              </a:solidFill>
              <a:ln w="9525" cap="flat" cmpd="sng" algn="ctr">
                <a:solidFill>
                  <a:srgbClr val="050875"/>
                </a:solidFill>
                <a:round/>
              </a:ln>
              <a:effectLst/>
              <a:sp3d contourW="9525">
                <a:contourClr>
                  <a:srgbClr val="050875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DF-4D64-9C00-39FA18A757E2}"/>
              </c:ext>
            </c:extLst>
          </c:dPt>
          <c:dPt>
            <c:idx val="9"/>
            <c:invertIfNegative val="0"/>
            <c:bubble3D val="0"/>
            <c:spPr>
              <a:solidFill>
                <a:srgbClr val="ADF5FF">
                  <a:alpha val="85000"/>
                </a:srgbClr>
              </a:solidFill>
              <a:ln w="9525" cap="flat" cmpd="sng" algn="ctr">
                <a:solidFill>
                  <a:srgbClr val="050875"/>
                </a:solidFill>
                <a:round/>
              </a:ln>
              <a:effectLst/>
              <a:sp3d contourW="9525">
                <a:contourClr>
                  <a:srgbClr val="050875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DF-4D64-9C00-39FA18A757E2}"/>
              </c:ext>
            </c:extLst>
          </c:dPt>
          <c:dLbls>
            <c:dLbl>
              <c:idx val="0"/>
              <c:layout>
                <c:manualLayout>
                  <c:x val="6.9553109768827111E-3"/>
                  <c:y val="-0.112428618616342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CDF-4D64-9C00-39FA18A757E2}"/>
                </c:ext>
              </c:extLst>
            </c:dLbl>
            <c:dLbl>
              <c:idx val="1"/>
              <c:layout>
                <c:manualLayout>
                  <c:x val="1.6692746344518568E-2"/>
                  <c:y val="-0.2248572372326846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CDF-4D64-9C00-39FA18A757E2}"/>
                </c:ext>
              </c:extLst>
            </c:dLbl>
            <c:dLbl>
              <c:idx val="2"/>
              <c:layout>
                <c:manualLayout>
                  <c:x val="2.0865932930648212E-2"/>
                  <c:y val="-0.161616139260992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CDF-4D64-9C00-39FA18A757E2}"/>
                </c:ext>
              </c:extLst>
            </c:dLbl>
            <c:dLbl>
              <c:idx val="3"/>
              <c:layout>
                <c:manualLayout>
                  <c:x val="2.7821243907530949E-2"/>
                  <c:y val="-0.112428618616342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ACDF-4D64-9C00-39FA18A757E2}"/>
                </c:ext>
              </c:extLst>
            </c:dLbl>
            <c:dLbl>
              <c:idx val="4"/>
              <c:layout>
                <c:manualLayout>
                  <c:x val="8.3463731722592839E-3"/>
                  <c:y val="-0.186209899583316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ACDF-4D64-9C00-39FA18A757E2}"/>
                </c:ext>
              </c:extLst>
            </c:dLbl>
            <c:dLbl>
              <c:idx val="5"/>
              <c:layout>
                <c:manualLayout>
                  <c:x val="-9.7374353676358324E-3"/>
                  <c:y val="-8.08080696304960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ACDF-4D64-9C00-39FA18A757E2}"/>
                </c:ext>
              </c:extLst>
            </c:dLbl>
            <c:dLbl>
              <c:idx val="6"/>
              <c:layout>
                <c:manualLayout>
                  <c:x val="4.173186586129642E-3"/>
                  <c:y val="-8.0808069630496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ACDF-4D64-9C00-39FA18A757E2}"/>
                </c:ext>
              </c:extLst>
            </c:dLbl>
            <c:dLbl>
              <c:idx val="7"/>
              <c:layout>
                <c:manualLayout>
                  <c:x val="-4.173186586129642E-3"/>
                  <c:y val="-7.37812809669746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ACDF-4D64-9C00-39FA18A757E2}"/>
                </c:ext>
              </c:extLst>
            </c:dLbl>
            <c:dLbl>
              <c:idx val="8"/>
              <c:layout>
                <c:manualLayout>
                  <c:x val="-4.1731865861297443E-3"/>
                  <c:y val="-0.147562561933949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ACDF-4D64-9C00-39FA18A757E2}"/>
                </c:ext>
              </c:extLst>
            </c:dLbl>
            <c:dLbl>
              <c:idx val="9"/>
              <c:layout>
                <c:manualLayout>
                  <c:x val="1.3910621953765474E-3"/>
                  <c:y val="-0.25647778621853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ACDF-4D64-9C00-39FA18A757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5875">
                      <a:solidFill>
                        <a:srgbClr val="0000CC"/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Total_Sales_by_Category_Year!$A$4:$B$17</c:f>
              <c:multiLvlStrCache>
                <c:ptCount val="10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2025</c:v>
                  </c:pt>
                  <c:pt idx="6">
                    <c:v>2026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</c:lvl>
                <c:lvl>
                  <c:pt idx="0">
                    <c:v>Accessories</c:v>
                  </c:pt>
                  <c:pt idx="3">
                    <c:v>Clothing</c:v>
                  </c:pt>
                  <c:pt idx="7">
                    <c:v>Shoes</c:v>
                  </c:pt>
                </c:lvl>
              </c:multiLvlStrCache>
            </c:multiLvlStrRef>
          </c:cat>
          <c:val>
            <c:numRef>
              <c:f>Total_Sales_by_Category_Year!$C$4:$C$17</c:f>
              <c:numCache>
                <c:formatCode>[$RSD]\ #,##0.00</c:formatCode>
                <c:ptCount val="10"/>
                <c:pt idx="0">
                  <c:v>66400</c:v>
                </c:pt>
                <c:pt idx="1">
                  <c:v>19800</c:v>
                </c:pt>
                <c:pt idx="2">
                  <c:v>16000</c:v>
                </c:pt>
                <c:pt idx="3">
                  <c:v>15000</c:v>
                </c:pt>
                <c:pt idx="4">
                  <c:v>16200</c:v>
                </c:pt>
                <c:pt idx="5">
                  <c:v>10800</c:v>
                </c:pt>
                <c:pt idx="6">
                  <c:v>5000</c:v>
                </c:pt>
                <c:pt idx="7">
                  <c:v>39600</c:v>
                </c:pt>
                <c:pt idx="8">
                  <c:v>39600</c:v>
                </c:pt>
                <c:pt idx="9">
                  <c:v>12600</c:v>
                </c:pt>
              </c:numCache>
            </c:numRef>
          </c:val>
          <c:shape val="pyramidToMax"/>
          <c:extLst>
            <c:ext xmlns:c16="http://schemas.microsoft.com/office/drawing/2014/chart" uri="{C3380CC4-5D6E-409C-BE32-E72D297353CC}">
              <c16:uniqueId val="{00000014-ACDF-4D64-9C00-39FA18A757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421161680"/>
        <c:axId val="1421162512"/>
        <c:axId val="1419157760"/>
      </c:bar3DChart>
      <c:catAx>
        <c:axId val="142116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162512"/>
        <c:crosses val="autoZero"/>
        <c:auto val="1"/>
        <c:lblAlgn val="ctr"/>
        <c:lblOffset val="100"/>
        <c:noMultiLvlLbl val="0"/>
      </c:catAx>
      <c:valAx>
        <c:axId val="142116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SD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161680"/>
        <c:crosses val="autoZero"/>
        <c:crossBetween val="between"/>
      </c:valAx>
      <c:serAx>
        <c:axId val="141915776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21162512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5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[e_sale_analysis.xlsx]Sales_by_month!PivotTable2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0000CC"/>
                </a:solidFill>
                <a:latin typeface="+mn-lt"/>
                <a:ea typeface="+mn-ea"/>
                <a:cs typeface="+mn-cs"/>
              </a:defRPr>
            </a:pPr>
            <a:r>
              <a:rPr lang="en-GB" sz="1800">
                <a:effectLst/>
              </a:rPr>
              <a:t>SALES</a:t>
            </a:r>
            <a:r>
              <a:rPr lang="en-GB" sz="1800" baseline="0">
                <a:effectLst/>
              </a:rPr>
              <a:t> BY MONTH</a:t>
            </a:r>
            <a:endParaRPr lang="en-GB" sz="1800">
              <a:effectLst/>
            </a:endParaRPr>
          </a:p>
        </c:rich>
      </c:tx>
      <c:layout>
        <c:manualLayout>
          <c:xMode val="edge"/>
          <c:yMode val="edge"/>
          <c:x val="0.47336455890588813"/>
          <c:y val="1.2394771723768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0000C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solidFill>
              <a:srgbClr val="0000CC"/>
            </a:solidFill>
            <a:ln w="9525">
              <a:solidFill>
                <a:srgbClr val="05087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C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6.2420378125505452E-2"/>
              <c:y val="-0.23223904704219669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6.0530231788032497E-2"/>
              <c:y val="-0.13354787173342467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00477788661659"/>
                  <c:h val="6.2520211729386668E-2"/>
                </c:manualLayout>
              </c15:layout>
            </c:ext>
          </c:extLst>
        </c:dLbl>
      </c:pivotFmt>
      <c:pivotFmt>
        <c:idx val="4"/>
        <c:dLbl>
          <c:idx val="0"/>
          <c:layout>
            <c:manualLayout>
              <c:x val="-5.0367229837354768E-2"/>
              <c:y val="-0.19194831415303856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5.684062535661312E-2"/>
              <c:y val="-0.15630380136838143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4.2888774837185603E-2"/>
              <c:y val="-0.16965949490427409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7.1469152289025339E-2"/>
              <c:y val="-0.1562141521607458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-3.9326854874847959E-2"/>
              <c:y val="-0.22588048586949891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-0.12294311503744959"/>
              <c:y val="-3.9833974241591893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00CC"/>
            </a:solidFill>
            <a:ln w="9525">
              <a:solidFill>
                <a:srgbClr val="05087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C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00CC"/>
            </a:solidFill>
            <a:ln w="9525">
              <a:solidFill>
                <a:srgbClr val="05087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2888774837185603E-2"/>
              <c:y val="-0.1696594949042740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C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00CC"/>
            </a:solidFill>
            <a:ln w="9525">
              <a:solidFill>
                <a:srgbClr val="05087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1469152289025339E-2"/>
              <c:y val="-0.156214152160745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C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00CC"/>
            </a:solidFill>
            <a:ln w="9525">
              <a:solidFill>
                <a:srgbClr val="05087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12294311503744959"/>
              <c:y val="-3.98339742415918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C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00CC"/>
            </a:solidFill>
            <a:ln w="9525">
              <a:solidFill>
                <a:srgbClr val="05087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9326854874847959E-2"/>
              <c:y val="-0.225880485869498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C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00CC"/>
            </a:solidFill>
            <a:ln w="9525">
              <a:solidFill>
                <a:srgbClr val="05087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684062535661312E-2"/>
              <c:y val="-0.156303801368381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C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00CC"/>
            </a:solidFill>
            <a:ln w="9525">
              <a:solidFill>
                <a:srgbClr val="05087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2420378125505452E-2"/>
              <c:y val="-0.232239047042196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C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00CC"/>
            </a:solidFill>
            <a:ln w="9525">
              <a:solidFill>
                <a:srgbClr val="05087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0530231788032497E-2"/>
              <c:y val="-0.133547871733424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C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00477788661659"/>
                  <c:h val="6.2520211729386668E-2"/>
                </c:manualLayout>
              </c15:layout>
            </c:ext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00CC"/>
            </a:solidFill>
            <a:ln w="9525">
              <a:solidFill>
                <a:srgbClr val="05087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0367229837354768E-2"/>
              <c:y val="-0.191948314153038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C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00CC"/>
            </a:solidFill>
            <a:ln w="9525">
              <a:solidFill>
                <a:srgbClr val="05087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C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0"/>
        <c:spPr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00CC"/>
            </a:solidFill>
            <a:ln w="9525">
              <a:solidFill>
                <a:srgbClr val="05087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2888774837185603E-2"/>
              <c:y val="-0.1696594949042740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C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1"/>
        <c:spPr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00CC"/>
            </a:solidFill>
            <a:ln w="9525">
              <a:solidFill>
                <a:srgbClr val="05087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1469152289025339E-2"/>
              <c:y val="-0.156214152160745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C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2"/>
        <c:spPr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00CC"/>
            </a:solidFill>
            <a:ln w="9525">
              <a:solidFill>
                <a:srgbClr val="05087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12294311503744959"/>
              <c:y val="-3.98339742415918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C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3"/>
        <c:spPr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00CC"/>
            </a:solidFill>
            <a:ln w="9525">
              <a:solidFill>
                <a:srgbClr val="05087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9326854874847959E-2"/>
              <c:y val="-0.225880485869498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C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4"/>
        <c:spPr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00CC"/>
            </a:solidFill>
            <a:ln w="9525">
              <a:solidFill>
                <a:srgbClr val="05087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684062535661312E-2"/>
              <c:y val="-0.156303801368381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C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5"/>
        <c:spPr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00CC"/>
            </a:solidFill>
            <a:ln w="9525">
              <a:solidFill>
                <a:srgbClr val="05087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2420378125505452E-2"/>
              <c:y val="-0.232239047042196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C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6"/>
        <c:spPr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00CC"/>
            </a:solidFill>
            <a:ln w="9525">
              <a:solidFill>
                <a:srgbClr val="05087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0530231788032497E-2"/>
              <c:y val="-0.133547871733424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C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00477788661659"/>
                  <c:h val="6.2520211729386668E-2"/>
                </c:manualLayout>
              </c15:layout>
            </c:ext>
          </c:extLst>
        </c:dLbl>
      </c:pivotFmt>
      <c:pivotFmt>
        <c:idx val="27"/>
        <c:spPr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00CC"/>
            </a:solidFill>
            <a:ln w="9525">
              <a:solidFill>
                <a:srgbClr val="05087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0367229837354768E-2"/>
              <c:y val="-0.191948314153038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C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465089953511598"/>
          <c:y val="0.16961638848068783"/>
          <c:w val="0.75584864391951001"/>
          <c:h val="0.61104629363190055"/>
        </c:manualLayout>
      </c:layout>
      <c:lineChart>
        <c:grouping val="standard"/>
        <c:varyColors val="0"/>
        <c:ser>
          <c:idx val="0"/>
          <c:order val="0"/>
          <c:tx>
            <c:strRef>
              <c:f>Sales_by_month!$B$3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00CC"/>
              </a:solidFill>
              <a:ln w="9525">
                <a:solidFill>
                  <a:srgbClr val="05087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4.2888774837185603E-2"/>
                  <c:y val="-0.1696594949042740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6D7-48BA-80C3-8C5D847F8657}"/>
                </c:ext>
              </c:extLst>
            </c:dLbl>
            <c:dLbl>
              <c:idx val="1"/>
              <c:layout>
                <c:manualLayout>
                  <c:x val="-7.1469152289025339E-2"/>
                  <c:y val="-0.156214152160745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6D7-48BA-80C3-8C5D847F8657}"/>
                </c:ext>
              </c:extLst>
            </c:dLbl>
            <c:dLbl>
              <c:idx val="2"/>
              <c:layout>
                <c:manualLayout>
                  <c:x val="-0.12294311503744959"/>
                  <c:y val="-3.9833974241591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6D7-48BA-80C3-8C5D847F8657}"/>
                </c:ext>
              </c:extLst>
            </c:dLbl>
            <c:dLbl>
              <c:idx val="3"/>
              <c:layout>
                <c:manualLayout>
                  <c:x val="-3.9326854874847959E-2"/>
                  <c:y val="-0.225880485869498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6D7-48BA-80C3-8C5D847F8657}"/>
                </c:ext>
              </c:extLst>
            </c:dLbl>
            <c:dLbl>
              <c:idx val="5"/>
              <c:layout>
                <c:manualLayout>
                  <c:x val="-5.684062535661312E-2"/>
                  <c:y val="-0.156303801368381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6D7-48BA-80C3-8C5D847F8657}"/>
                </c:ext>
              </c:extLst>
            </c:dLbl>
            <c:dLbl>
              <c:idx val="6"/>
              <c:layout>
                <c:manualLayout>
                  <c:x val="-6.2420378125505452E-2"/>
                  <c:y val="-0.2322390470421966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6D7-48BA-80C3-8C5D847F8657}"/>
                </c:ext>
              </c:extLst>
            </c:dLbl>
            <c:dLbl>
              <c:idx val="7"/>
              <c:layout>
                <c:manualLayout>
                  <c:x val="-6.0530231788032497E-2"/>
                  <c:y val="-0.133547871733424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0477788661659"/>
                      <c:h val="6.252021172938666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C6D7-48BA-80C3-8C5D847F8657}"/>
                </c:ext>
              </c:extLst>
            </c:dLbl>
            <c:dLbl>
              <c:idx val="8"/>
              <c:layout>
                <c:manualLayout>
                  <c:x val="-5.0367229837354768E-2"/>
                  <c:y val="-0.191948314153038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6D7-48BA-80C3-8C5D847F86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C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Sales_by_month!$A$4:$A$17</c:f>
              <c:multiLvlStrCache>
                <c:ptCount val="9"/>
                <c:lvl>
                  <c:pt idx="0">
                    <c:v>Nov</c:v>
                  </c:pt>
                  <c:pt idx="1">
                    <c:v>Feb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Jan</c:v>
                  </c:pt>
                  <c:pt idx="6">
                    <c:v>Feb</c:v>
                  </c:pt>
                  <c:pt idx="7">
                    <c:v>Mar</c:v>
                  </c:pt>
                  <c:pt idx="8">
                    <c:v>Jan</c:v>
                  </c:pt>
                </c:lvl>
                <c:lvl>
                  <c:pt idx="0">
                    <c:v>2023</c:v>
                  </c:pt>
                  <c:pt idx="1">
                    <c:v>2024</c:v>
                  </c:pt>
                  <c:pt idx="5">
                    <c:v>2025</c:v>
                  </c:pt>
                  <c:pt idx="8">
                    <c:v>2026</c:v>
                  </c:pt>
                </c:lvl>
              </c:multiLvlStrCache>
            </c:multiLvlStrRef>
          </c:cat>
          <c:val>
            <c:numRef>
              <c:f>Sales_by_month!$B$4:$B$17</c:f>
              <c:numCache>
                <c:formatCode>[$RSD]\ #,##0.00</c:formatCode>
                <c:ptCount val="9"/>
                <c:pt idx="0">
                  <c:v>15000</c:v>
                </c:pt>
                <c:pt idx="1">
                  <c:v>7000</c:v>
                </c:pt>
                <c:pt idx="2">
                  <c:v>59400</c:v>
                </c:pt>
                <c:pt idx="3">
                  <c:v>5400</c:v>
                </c:pt>
                <c:pt idx="4">
                  <c:v>50400</c:v>
                </c:pt>
                <c:pt idx="5">
                  <c:v>19800</c:v>
                </c:pt>
                <c:pt idx="6">
                  <c:v>19800</c:v>
                </c:pt>
                <c:pt idx="7">
                  <c:v>30600</c:v>
                </c:pt>
                <c:pt idx="8">
                  <c:v>33600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6D7-48BA-80C3-8C5D847F865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02600432"/>
        <c:axId val="2102586288"/>
      </c:lineChart>
      <c:catAx>
        <c:axId val="210260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C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586288"/>
        <c:crosses val="autoZero"/>
        <c:auto val="1"/>
        <c:lblAlgn val="ctr"/>
        <c:lblOffset val="100"/>
        <c:noMultiLvlLbl val="0"/>
      </c:catAx>
      <c:valAx>
        <c:axId val="210258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SD]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C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60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ADF5FF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rgbClr val="0000CC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[e_sale_analysis.xlsx]Top_customers_by_revenue!PivotTable3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 sz="2000">
                <a:solidFill>
                  <a:srgbClr val="050875"/>
                </a:solidFill>
                <a:effectLst/>
                <a:latin typeface="+mn-lt"/>
              </a:rPr>
              <a:t>Top customers by revenue</a:t>
            </a:r>
          </a:p>
        </c:rich>
      </c:tx>
      <c:layout>
        <c:manualLayout>
          <c:xMode val="edge"/>
          <c:yMode val="edge"/>
          <c:x val="0.42797541540790734"/>
          <c:y val="2.7570888172503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FFFF"/>
          </a:solidFill>
          <a:ln>
            <a:solidFill>
              <a:srgbClr val="05087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>
              <a:alpha val="90000"/>
            </a:srgbClr>
          </a:solidFill>
          <a:ln w="12700">
            <a:solidFill>
              <a:srgbClr val="050875">
                <a:alpha val="99000"/>
              </a:srgb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>
              <a:alpha val="70000"/>
            </a:srgbClr>
          </a:solidFill>
          <a:ln>
            <a:solidFill>
              <a:srgbClr val="05087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4BF2">
              <a:alpha val="69804"/>
            </a:srgbClr>
          </a:solidFill>
          <a:ln>
            <a:solidFill>
              <a:srgbClr val="050875"/>
            </a:solidFill>
          </a:ln>
          <a:effectLst/>
        </c:spPr>
        <c:marker>
          <c:symbol val="none"/>
        </c:marker>
      </c:pivotFmt>
      <c:pivotFmt>
        <c:idx val="9"/>
        <c:dLbl>
          <c:idx val="0"/>
          <c:layout>
            <c:manualLayout>
              <c:x val="-0.184154592651601"/>
              <c:y val="-5.39139362463622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692306090714456"/>
                  <c:h val="5.7999117000099271E-2"/>
                </c:manualLayout>
              </c15:layout>
            </c:ext>
          </c:extLst>
        </c:dLbl>
      </c:pivotFmt>
      <c:pivotFmt>
        <c:idx val="10"/>
        <c:dLbl>
          <c:idx val="0"/>
          <c:layout>
            <c:manualLayout>
              <c:x val="1.7628202903769957E-2"/>
              <c:y val="-4.56194845161527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>
              <a:alpha val="90000"/>
            </a:srgbClr>
          </a:solidFill>
          <a:ln w="12700">
            <a:solidFill>
              <a:srgbClr val="050875">
                <a:alpha val="99000"/>
              </a:srgbClr>
            </a:solidFill>
          </a:ln>
          <a:effectLst/>
        </c:spPr>
      </c:pivotFmt>
      <c:pivotFmt>
        <c:idx val="1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00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FF4BF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-5.8759997545394427E-17"/>
              <c:y val="-3.85457571523487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00B050">
              <a:alpha val="70000"/>
            </a:srgbClr>
          </a:solidFill>
          <a:ln w="12700">
            <a:solidFill>
              <a:srgbClr val="05087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7030A0">
              <a:alpha val="70000"/>
            </a:srgbClr>
          </a:solidFill>
          <a:ln w="12700">
            <a:solidFill>
              <a:srgbClr val="05087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F4BF2">
              <a:alpha val="70000"/>
            </a:srgbClr>
          </a:solidFill>
          <a:ln w="12700">
            <a:solidFill>
              <a:srgbClr val="05087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008DF6">
              <a:alpha val="70000"/>
            </a:srgbClr>
          </a:solidFill>
          <a:ln w="12700">
            <a:solidFill>
              <a:srgbClr val="05087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7030A0">
              <a:alpha val="70000"/>
            </a:srgbClr>
          </a:solidFill>
          <a:ln w="12700">
            <a:solidFill>
              <a:srgbClr val="050875"/>
            </a:solidFill>
          </a:ln>
          <a:effectLst/>
        </c:spPr>
        <c:dLbl>
          <c:idx val="0"/>
          <c:layout>
            <c:manualLayout>
              <c:x val="2.9039918200419391E-2"/>
              <c:y val="-0.138175337892124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0"/>
        <c:spPr>
          <a:solidFill>
            <a:srgbClr val="008DF6">
              <a:alpha val="70000"/>
            </a:srgbClr>
          </a:solidFill>
          <a:ln w="12700">
            <a:solidFill>
              <a:srgbClr val="050875"/>
            </a:solidFill>
          </a:ln>
          <a:effectLst/>
        </c:spPr>
        <c:dLbl>
          <c:idx val="0"/>
          <c:layout>
            <c:manualLayout>
              <c:x val="3.2266575778243767E-2"/>
              <c:y val="-5.66873181095895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1"/>
        <c:spPr>
          <a:solidFill>
            <a:srgbClr val="00B050">
              <a:alpha val="70000"/>
            </a:srgbClr>
          </a:solidFill>
          <a:ln w="12700">
            <a:solidFill>
              <a:srgbClr val="050875"/>
            </a:solidFill>
          </a:ln>
          <a:effectLst/>
        </c:spPr>
        <c:dLbl>
          <c:idx val="0"/>
          <c:layout>
            <c:manualLayout>
              <c:x val="-4.8399863667365648E-3"/>
              <c:y val="-0.18069082647431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2"/>
        <c:spPr>
          <a:solidFill>
            <a:srgbClr val="7030A0">
              <a:alpha val="70000"/>
            </a:srgbClr>
          </a:solidFill>
          <a:ln w="12700">
            <a:solidFill>
              <a:srgbClr val="050875"/>
            </a:solidFill>
          </a:ln>
          <a:effectLst/>
        </c:spPr>
        <c:dLbl>
          <c:idx val="0"/>
          <c:layout>
            <c:manualLayout>
              <c:x val="0"/>
              <c:y val="-1.28230791191554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3"/>
        <c:spPr>
          <a:solidFill>
            <a:srgbClr val="FF4BF2">
              <a:alpha val="70000"/>
            </a:srgbClr>
          </a:solidFill>
          <a:ln w="12700">
            <a:solidFill>
              <a:srgbClr val="050875"/>
            </a:solidFill>
          </a:ln>
          <a:effectLst/>
        </c:spPr>
        <c:dLbl>
          <c:idx val="0"/>
          <c:layout>
            <c:manualLayout>
              <c:x val="-6.4533151556487528E-3"/>
              <c:y val="-6.09096258159882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4"/>
        <c:spPr>
          <a:solidFill>
            <a:srgbClr val="7030A0">
              <a:alpha val="70000"/>
            </a:srgbClr>
          </a:solidFill>
          <a:ln w="12700">
            <a:solidFill>
              <a:srgbClr val="050875"/>
            </a:solidFill>
          </a:ln>
          <a:effectLst/>
        </c:spPr>
        <c:dLbl>
          <c:idx val="0"/>
          <c:layout>
            <c:manualLayout>
              <c:x val="3.2266575778243764E-3"/>
              <c:y val="-8.0144244494721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5"/>
        <c:spPr>
          <a:solidFill>
            <a:srgbClr val="008DF6">
              <a:alpha val="70000"/>
            </a:srgbClr>
          </a:solidFill>
          <a:ln w="12700">
            <a:solidFill>
              <a:srgbClr val="050875"/>
            </a:solidFill>
          </a:ln>
          <a:effectLst/>
        </c:spPr>
        <c:dLbl>
          <c:idx val="0"/>
          <c:layout>
            <c:manualLayout>
              <c:x val="-3.0653246989331577E-2"/>
              <c:y val="-1.28230791191554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5338896206983621"/>
          <c:y val="0.21847553048011956"/>
          <c:w val="0.76790074782615192"/>
          <c:h val="0.568488617471465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Top_customers_by_revenue!$B$3:$B$4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00B050">
                <a:alpha val="70000"/>
              </a:srgbClr>
            </a:solidFill>
            <a:ln w="12700">
              <a:solidFill>
                <a:srgbClr val="050875"/>
              </a:solidFill>
            </a:ln>
            <a:effectLst/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378F-43D3-8DFC-1C56C3A6C939}"/>
              </c:ext>
            </c:extLst>
          </c:dPt>
          <c:dLbls>
            <c:dLbl>
              <c:idx val="3"/>
              <c:layout>
                <c:manualLayout>
                  <c:x val="-4.8399863667365648E-3"/>
                  <c:y val="-0.180690826474316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378F-43D3-8DFC-1C56C3A6C9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Top_customers_by_revenue!$A$5:$A$15</c:f>
              <c:multiLvlStrCache>
                <c:ptCount val="5"/>
                <c:lvl>
                  <c:pt idx="0">
                    <c:v>Nikolic</c:v>
                  </c:pt>
                  <c:pt idx="1">
                    <c:v>Stojanovic</c:v>
                  </c:pt>
                  <c:pt idx="2">
                    <c:v>Kovacevic</c:v>
                  </c:pt>
                  <c:pt idx="3">
                    <c:v>Savic</c:v>
                  </c:pt>
                  <c:pt idx="4">
                    <c:v>Petrovic</c:v>
                  </c:pt>
                </c:lvl>
                <c:lvl>
                  <c:pt idx="0">
                    <c:v>Ana</c:v>
                  </c:pt>
                  <c:pt idx="1">
                    <c:v>Jelena</c:v>
                  </c:pt>
                  <c:pt idx="2">
                    <c:v>Marina</c:v>
                  </c:pt>
                  <c:pt idx="3">
                    <c:v>Nikola</c:v>
                  </c:pt>
                  <c:pt idx="4">
                    <c:v>Petar</c:v>
                  </c:pt>
                </c:lvl>
              </c:multiLvlStrCache>
            </c:multiLvlStrRef>
          </c:cat>
          <c:val>
            <c:numRef>
              <c:f>Top_customers_by_revenue!$B$5:$B$15</c:f>
              <c:numCache>
                <c:formatCode>[$RSD]\ #,##0.00</c:formatCode>
                <c:ptCount val="5"/>
                <c:pt idx="3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8F-43D3-8DFC-1C56C3A6C939}"/>
            </c:ext>
          </c:extLst>
        </c:ser>
        <c:ser>
          <c:idx val="1"/>
          <c:order val="1"/>
          <c:tx>
            <c:strRef>
              <c:f>Top_customers_by_revenue!$C$3:$C$4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7030A0">
                <a:alpha val="70000"/>
              </a:srgbClr>
            </a:solidFill>
            <a:ln w="12700">
              <a:solidFill>
                <a:srgbClr val="050875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>
                  <a:alpha val="70000"/>
                </a:srgbClr>
              </a:solidFill>
              <a:ln w="12700">
                <a:solidFill>
                  <a:srgbClr val="05087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44D-44BF-B68A-3BBDA952EE5F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>
                  <a:alpha val="70000"/>
                </a:srgbClr>
              </a:solidFill>
              <a:ln w="12700">
                <a:solidFill>
                  <a:srgbClr val="05087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44D-44BF-B68A-3BBDA952EE5F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>
                  <a:alpha val="70000"/>
                </a:srgbClr>
              </a:solidFill>
              <a:ln w="12700">
                <a:solidFill>
                  <a:srgbClr val="05087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78F-43D3-8DFC-1C56C3A6C939}"/>
              </c:ext>
            </c:extLst>
          </c:dPt>
          <c:dLbls>
            <c:dLbl>
              <c:idx val="0"/>
              <c:layout>
                <c:manualLayout>
                  <c:x val="0"/>
                  <c:y val="-1.28230791191554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44D-44BF-B68A-3BBDA952EE5F}"/>
                </c:ext>
              </c:extLst>
            </c:dLbl>
            <c:dLbl>
              <c:idx val="2"/>
              <c:layout>
                <c:manualLayout>
                  <c:x val="3.2266575778243764E-3"/>
                  <c:y val="-8.014424449472148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44D-44BF-B68A-3BBDA952EE5F}"/>
                </c:ext>
              </c:extLst>
            </c:dLbl>
            <c:dLbl>
              <c:idx val="3"/>
              <c:layout>
                <c:manualLayout>
                  <c:x val="2.9039918200419391E-2"/>
                  <c:y val="-0.1381753378921244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378F-43D3-8DFC-1C56C3A6C9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Top_customers_by_revenue!$A$5:$A$15</c:f>
              <c:multiLvlStrCache>
                <c:ptCount val="5"/>
                <c:lvl>
                  <c:pt idx="0">
                    <c:v>Nikolic</c:v>
                  </c:pt>
                  <c:pt idx="1">
                    <c:v>Stojanovic</c:v>
                  </c:pt>
                  <c:pt idx="2">
                    <c:v>Kovacevic</c:v>
                  </c:pt>
                  <c:pt idx="3">
                    <c:v>Savic</c:v>
                  </c:pt>
                  <c:pt idx="4">
                    <c:v>Petrovic</c:v>
                  </c:pt>
                </c:lvl>
                <c:lvl>
                  <c:pt idx="0">
                    <c:v>Ana</c:v>
                  </c:pt>
                  <c:pt idx="1">
                    <c:v>Jelena</c:v>
                  </c:pt>
                  <c:pt idx="2">
                    <c:v>Marina</c:v>
                  </c:pt>
                  <c:pt idx="3">
                    <c:v>Nikola</c:v>
                  </c:pt>
                  <c:pt idx="4">
                    <c:v>Petar</c:v>
                  </c:pt>
                </c:lvl>
              </c:multiLvlStrCache>
            </c:multiLvlStrRef>
          </c:cat>
          <c:val>
            <c:numRef>
              <c:f>Top_customers_by_revenue!$C$5:$C$15</c:f>
              <c:numCache>
                <c:formatCode>[$RSD]\ #,##0.00</c:formatCode>
                <c:ptCount val="5"/>
                <c:pt idx="0">
                  <c:v>64800</c:v>
                </c:pt>
                <c:pt idx="2">
                  <c:v>50400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78F-43D3-8DFC-1C56C3A6C939}"/>
            </c:ext>
          </c:extLst>
        </c:ser>
        <c:ser>
          <c:idx val="2"/>
          <c:order val="2"/>
          <c:tx>
            <c:strRef>
              <c:f>Top_customers_by_revenue!$D$3:$D$4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FF4BF2">
                <a:alpha val="70000"/>
              </a:srgbClr>
            </a:solidFill>
            <a:ln w="12700">
              <a:solidFill>
                <a:srgbClr val="050875"/>
              </a:solidFill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44D-44BF-B68A-3BBDA952EE5F}"/>
              </c:ext>
            </c:extLst>
          </c:dPt>
          <c:dLbls>
            <c:dLbl>
              <c:idx val="1"/>
              <c:layout>
                <c:manualLayout>
                  <c:x val="-6.4533151556487528E-3"/>
                  <c:y val="-6.090962581598827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44D-44BF-B68A-3BBDA952EE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Top_customers_by_revenue!$A$5:$A$15</c:f>
              <c:multiLvlStrCache>
                <c:ptCount val="5"/>
                <c:lvl>
                  <c:pt idx="0">
                    <c:v>Nikolic</c:v>
                  </c:pt>
                  <c:pt idx="1">
                    <c:v>Stojanovic</c:v>
                  </c:pt>
                  <c:pt idx="2">
                    <c:v>Kovacevic</c:v>
                  </c:pt>
                  <c:pt idx="3">
                    <c:v>Savic</c:v>
                  </c:pt>
                  <c:pt idx="4">
                    <c:v>Petrovic</c:v>
                  </c:pt>
                </c:lvl>
                <c:lvl>
                  <c:pt idx="0">
                    <c:v>Ana</c:v>
                  </c:pt>
                  <c:pt idx="1">
                    <c:v>Jelena</c:v>
                  </c:pt>
                  <c:pt idx="2">
                    <c:v>Marina</c:v>
                  </c:pt>
                  <c:pt idx="3">
                    <c:v>Nikola</c:v>
                  </c:pt>
                  <c:pt idx="4">
                    <c:v>Petar</c:v>
                  </c:pt>
                </c:lvl>
              </c:multiLvlStrCache>
            </c:multiLvlStrRef>
          </c:cat>
          <c:val>
            <c:numRef>
              <c:f>Top_customers_by_revenue!$D$5:$D$15</c:f>
              <c:numCache>
                <c:formatCode>[$RSD]\ #,##0.00</c:formatCode>
                <c:ptCount val="5"/>
                <c:pt idx="1">
                  <c:v>50400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78F-43D3-8DFC-1C56C3A6C939}"/>
            </c:ext>
          </c:extLst>
        </c:ser>
        <c:ser>
          <c:idx val="3"/>
          <c:order val="3"/>
          <c:tx>
            <c:strRef>
              <c:f>Top_customers_by_revenue!$E$3:$E$4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008DF6">
                <a:alpha val="70000"/>
              </a:srgbClr>
            </a:solidFill>
            <a:ln w="12700">
              <a:solidFill>
                <a:srgbClr val="050875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008DF6">
                  <a:alpha val="70000"/>
                </a:srgbClr>
              </a:solidFill>
              <a:ln w="12700">
                <a:solidFill>
                  <a:srgbClr val="05087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78F-43D3-8DFC-1C56C3A6C939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44D-44BF-B68A-3BBDA952EE5F}"/>
              </c:ext>
            </c:extLst>
          </c:dPt>
          <c:dLbls>
            <c:dLbl>
              <c:idx val="3"/>
              <c:layout>
                <c:manualLayout>
                  <c:x val="3.2266575778243767E-2"/>
                  <c:y val="-5.668731810958953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378F-43D3-8DFC-1C56C3A6C939}"/>
                </c:ext>
              </c:extLst>
            </c:dLbl>
            <c:dLbl>
              <c:idx val="4"/>
              <c:layout>
                <c:manualLayout>
                  <c:x val="-3.0653246989331577E-2"/>
                  <c:y val="-1.282307911915543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44D-44BF-B68A-3BBDA952EE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Top_customers_by_revenue!$A$5:$A$15</c:f>
              <c:multiLvlStrCache>
                <c:ptCount val="5"/>
                <c:lvl>
                  <c:pt idx="0">
                    <c:v>Nikolic</c:v>
                  </c:pt>
                  <c:pt idx="1">
                    <c:v>Stojanovic</c:v>
                  </c:pt>
                  <c:pt idx="2">
                    <c:v>Kovacevic</c:v>
                  </c:pt>
                  <c:pt idx="3">
                    <c:v>Savic</c:v>
                  </c:pt>
                  <c:pt idx="4">
                    <c:v>Petrovic</c:v>
                  </c:pt>
                </c:lvl>
                <c:lvl>
                  <c:pt idx="0">
                    <c:v>Ana</c:v>
                  </c:pt>
                  <c:pt idx="1">
                    <c:v>Jelena</c:v>
                  </c:pt>
                  <c:pt idx="2">
                    <c:v>Marina</c:v>
                  </c:pt>
                  <c:pt idx="3">
                    <c:v>Nikola</c:v>
                  </c:pt>
                  <c:pt idx="4">
                    <c:v>Petar</c:v>
                  </c:pt>
                </c:lvl>
              </c:multiLvlStrCache>
            </c:multiLvlStrRef>
          </c:cat>
          <c:val>
            <c:numRef>
              <c:f>Top_customers_by_revenue!$E$5:$E$15</c:f>
              <c:numCache>
                <c:formatCode>[$RSD]\ #,##0.00</c:formatCode>
                <c:ptCount val="5"/>
                <c:pt idx="3">
                  <c:v>4500</c:v>
                </c:pt>
                <c:pt idx="4">
                  <c:v>29100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78F-43D3-8DFC-1C56C3A6C9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5"/>
        <c:overlap val="5"/>
        <c:axId val="20636192"/>
        <c:axId val="20624544"/>
      </c:barChart>
      <c:catAx>
        <c:axId val="2063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4544"/>
        <c:crosses val="autoZero"/>
        <c:auto val="1"/>
        <c:lblAlgn val="ctr"/>
        <c:lblOffset val="100"/>
        <c:noMultiLvlLbl val="0"/>
      </c:catAx>
      <c:valAx>
        <c:axId val="2062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[$RSD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[e_sale_analysis.xlsx]Average_Order_Value 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0" i="0" u="none" strike="noStrike" baseline="0">
                <a:solidFill>
                  <a:srgbClr val="0000CC"/>
                </a:solidFill>
                <a:effectLst/>
                <a:latin typeface="+mn-lt"/>
              </a:rPr>
              <a:t>Average Order Value </a:t>
            </a:r>
            <a:endParaRPr lang="en-US" sz="2000">
              <a:solidFill>
                <a:srgbClr val="0000CC"/>
              </a:solidFill>
              <a:latin typeface="+mn-lt"/>
            </a:endParaRPr>
          </a:p>
        </c:rich>
      </c:tx>
      <c:layout/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5.95238095238095E-2"/>
              <c:y val="-4.92004920049200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rgbClr val="00FF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2.0833333333333332E-2"/>
              <c:y val="-4.18204182041820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solidFill>
            <a:srgbClr val="00B05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9.6726190476190479E-2"/>
              <c:y val="4.92004920049200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8DF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4.4642857142857144E-2"/>
              <c:y val="-5.90405904059040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solidFill>
            <a:srgbClr val="FF4BF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2.0833333333333332E-2"/>
              <c:y val="-6.15006150061500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solidFill>
            <a:srgbClr val="D03069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5.9523809523809521E-2"/>
              <c:y val="0.18696186961869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2367672790901139E-2"/>
          <c:y val="0.32993729950422862"/>
          <c:w val="0.50870341207349079"/>
          <c:h val="0.50720873432487601"/>
        </c:manualLayout>
      </c:layout>
      <c:pie3DChart>
        <c:varyColors val="1"/>
        <c:ser>
          <c:idx val="0"/>
          <c:order val="0"/>
          <c:tx>
            <c:strRef>
              <c:f>'Average_Order_Value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8DF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72B-41FD-ACF3-FA750625573C}"/>
              </c:ext>
            </c:extLst>
          </c:dPt>
          <c:dPt>
            <c:idx val="1"/>
            <c:bubble3D val="0"/>
            <c:spPr>
              <a:solidFill>
                <a:srgbClr val="FF4BF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572B-41FD-ACF3-FA750625573C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72B-41FD-ACF3-FA750625573C}"/>
              </c:ext>
            </c:extLst>
          </c:dPt>
          <c:dPt>
            <c:idx val="3"/>
            <c:bubble3D val="0"/>
            <c:spPr>
              <a:solidFill>
                <a:srgbClr val="D03069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572B-41FD-ACF3-FA750625573C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72B-41FD-ACF3-FA750625573C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572B-41FD-ACF3-FA750625573C}"/>
              </c:ext>
            </c:extLst>
          </c:dPt>
          <c:dLbls>
            <c:dLbl>
              <c:idx val="0"/>
              <c:layout>
                <c:manualLayout>
                  <c:x val="-4.4642857142857144E-2"/>
                  <c:y val="-5.904059040590405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572B-41FD-ACF3-FA750625573C}"/>
                </c:ext>
              </c:extLst>
            </c:dLbl>
            <c:dLbl>
              <c:idx val="1"/>
              <c:layout>
                <c:manualLayout>
                  <c:x val="2.0833333333333332E-2"/>
                  <c:y val="-6.150061500615006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572B-41FD-ACF3-FA750625573C}"/>
                </c:ext>
              </c:extLst>
            </c:dLbl>
            <c:dLbl>
              <c:idx val="2"/>
              <c:layout>
                <c:manualLayout>
                  <c:x val="9.6726190476190479E-2"/>
                  <c:y val="4.920049200492004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72B-41FD-ACF3-FA750625573C}"/>
                </c:ext>
              </c:extLst>
            </c:dLbl>
            <c:dLbl>
              <c:idx val="3"/>
              <c:layout>
                <c:manualLayout>
                  <c:x val="5.9523809523809521E-2"/>
                  <c:y val="0.186961869618696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572B-41FD-ACF3-FA750625573C}"/>
                </c:ext>
              </c:extLst>
            </c:dLbl>
            <c:dLbl>
              <c:idx val="4"/>
              <c:layout>
                <c:manualLayout>
                  <c:x val="2.0833333333333332E-2"/>
                  <c:y val="-4.182041820418208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572B-41FD-ACF3-FA750625573C}"/>
                </c:ext>
              </c:extLst>
            </c:dLbl>
            <c:dLbl>
              <c:idx val="5"/>
              <c:layout>
                <c:manualLayout>
                  <c:x val="5.95238095238095E-2"/>
                  <c:y val="-4.920049200492009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572B-41FD-ACF3-FA7506255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'Average_Order_Value '!$A$4:$A$16</c:f>
              <c:multiLvlStrCache>
                <c:ptCount val="6"/>
                <c:lvl>
                  <c:pt idx="0">
                    <c:v>Nikolic</c:v>
                  </c:pt>
                  <c:pt idx="1">
                    <c:v>Banovic</c:v>
                  </c:pt>
                  <c:pt idx="2">
                    <c:v>Stojanovic</c:v>
                  </c:pt>
                  <c:pt idx="3">
                    <c:v>Kovacevic</c:v>
                  </c:pt>
                  <c:pt idx="4">
                    <c:v>Savic</c:v>
                  </c:pt>
                  <c:pt idx="5">
                    <c:v>Petrovic</c:v>
                  </c:pt>
                </c:lvl>
                <c:lvl>
                  <c:pt idx="0">
                    <c:v>Ana</c:v>
                  </c:pt>
                  <c:pt idx="1">
                    <c:v>Ivana</c:v>
                  </c:pt>
                  <c:pt idx="2">
                    <c:v>Jelena</c:v>
                  </c:pt>
                  <c:pt idx="3">
                    <c:v>Marina</c:v>
                  </c:pt>
                  <c:pt idx="4">
                    <c:v>Nikola</c:v>
                  </c:pt>
                  <c:pt idx="5">
                    <c:v>Petar</c:v>
                  </c:pt>
                </c:lvl>
              </c:multiLvlStrCache>
            </c:multiLvlStrRef>
          </c:cat>
          <c:val>
            <c:numRef>
              <c:f>'Average_Order_Value '!$B$4:$B$16</c:f>
              <c:numCache>
                <c:formatCode>[$RSD]\ #,##0.00</c:formatCode>
                <c:ptCount val="6"/>
                <c:pt idx="0">
                  <c:v>21600</c:v>
                </c:pt>
                <c:pt idx="1">
                  <c:v>19800</c:v>
                </c:pt>
                <c:pt idx="2">
                  <c:v>16800</c:v>
                </c:pt>
                <c:pt idx="3">
                  <c:v>25200</c:v>
                </c:pt>
                <c:pt idx="4">
                  <c:v>8833.3333333333339</c:v>
                </c:pt>
                <c:pt idx="5">
                  <c:v>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B-41FD-ACF3-FA75062557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73248536240657"/>
          <c:y val="0.25873957637214168"/>
          <c:w val="0.22065213002220876"/>
          <c:h val="0.51552217411937906"/>
        </c:manualLayout>
      </c:layout>
      <c:overlay val="0"/>
      <c:spPr>
        <a:pattFill prst="pct5">
          <a:fgClr>
            <a:schemeClr val="accent1">
              <a:lumMod val="40000"/>
              <a:lumOff val="60000"/>
            </a:schemeClr>
          </a:fgClr>
          <a:bgClr>
            <a:schemeClr val="bg1"/>
          </a:bgClr>
        </a:pattFill>
        <a:ln w="3175" cap="sq">
          <a:solidFill>
            <a:schemeClr val="bg1"/>
          </a:solidFill>
          <a:beve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alpha val="99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14286</xdr:colOff>
      <xdr:row>2</xdr:row>
      <xdr:rowOff>14287</xdr:rowOff>
    </xdr:from>
    <xdr:to>
      <xdr:col>19</xdr:col>
      <xdr:colOff>0</xdr:colOff>
      <xdr:row>21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1181100</xdr:colOff>
      <xdr:row>2</xdr:row>
      <xdr:rowOff>9524</xdr:rowOff>
    </xdr:from>
    <xdr:to>
      <xdr:col>17</xdr:col>
      <xdr:colOff>600076</xdr:colOff>
      <xdr:row>19</xdr:row>
      <xdr:rowOff>190499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23393</xdr:colOff>
      <xdr:row>1</xdr:row>
      <xdr:rowOff>185735</xdr:rowOff>
    </xdr:from>
    <xdr:to>
      <xdr:col>20</xdr:col>
      <xdr:colOff>27269</xdr:colOff>
      <xdr:row>22</xdr:row>
      <xdr:rowOff>188514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20</xdr:col>
      <xdr:colOff>0</xdr:colOff>
      <xdr:row>29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odvojene%20sql%20stranice/e_sale_analysis_final_data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roslav1" refreshedDate="46052.679246874999" createdVersion="6" refreshedVersion="6" minRefreshableVersion="3" recordCount="16">
  <cacheSource type="worksheet">
    <worksheetSource name="Table1"/>
  </cacheSource>
  <cacheFields count="16">
    <cacheField name="id_order" numFmtId="0">
      <sharedItems containsSemiMixedTypes="0" containsString="0" containsNumber="1" containsInteger="1" minValue="1" maxValue="11"/>
    </cacheField>
    <cacheField name="order_date" numFmtId="22">
      <sharedItems containsSemiMixedTypes="0" containsNonDate="0" containsDate="1" containsString="0" minDate="2023-11-01T11:20:00" maxDate="2026-01-22T09:50:15" count="11">
        <d v="2024-06-20T11:55:00"/>
        <d v="2025-01-16T14:20:10"/>
        <d v="2026-01-18T08:15:30"/>
        <d v="2026-01-20T12:15:30"/>
        <d v="2024-04-11T12:20:00"/>
        <d v="2024-05-15T17:40:00"/>
        <d v="2023-11-01T11:20:00"/>
        <d v="2024-02-20T13:30:20"/>
        <d v="2026-01-22T09:50:15"/>
        <d v="2025-02-10T12:20:00"/>
        <d v="2025-03-05T18:45:00"/>
      </sharedItems>
      <fieldGroup par="15" base="1">
        <rangePr groupBy="months" startDate="2023-11-01T11:20:00" endDate="2026-01-22T09:50:15"/>
        <groupItems count="14">
          <s v="&lt;1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2/2026"/>
        </groupItems>
      </fieldGroup>
    </cacheField>
    <cacheField name="order_status" numFmtId="0">
      <sharedItems/>
    </cacheField>
    <cacheField name="id_customer" numFmtId="0">
      <sharedItems containsSemiMixedTypes="0" containsString="0" containsNumber="1" containsInteger="1" minValue="1" maxValue="6"/>
    </cacheField>
    <cacheField name="first_name" numFmtId="0">
      <sharedItems count="6">
        <s v="Marina"/>
        <s v="Ivana"/>
        <s v="Petar"/>
        <s v="Ana"/>
        <s v="Nikola"/>
        <s v="Jelena"/>
      </sharedItems>
    </cacheField>
    <cacheField name="last_name" numFmtId="0">
      <sharedItems count="6">
        <s v="Kovacevic"/>
        <s v="Banovic"/>
        <s v="Petrovic"/>
        <s v="Nikolic"/>
        <s v="Savic"/>
        <s v="Stojanovic"/>
      </sharedItems>
    </cacheField>
    <cacheField name="e_mail" numFmtId="0">
      <sharedItems count="6">
        <s v="marina.kovacevic@gmail.com"/>
        <s v="banovic.ivana@gmail.com"/>
        <s v="p.petrovic@yahoo.com"/>
        <s v="ana.nn@gmail.com"/>
        <s v="nikola.savic@yahoo.com"/>
        <s v="s.jelena@gmail.com"/>
      </sharedItems>
    </cacheField>
    <cacheField name="country" numFmtId="0">
      <sharedItems/>
    </cacheField>
    <cacheField name="city" numFmtId="0">
      <sharedItems/>
    </cacheField>
    <cacheField name="id_product" numFmtId="0">
      <sharedItems containsSemiMixedTypes="0" containsString="0" containsNumber="1" containsInteger="1" minValue="1" maxValue="7"/>
    </cacheField>
    <cacheField name="product_name" numFmtId="0">
      <sharedItems/>
    </cacheField>
    <cacheField name="category" numFmtId="0">
      <sharedItems count="3">
        <s v="Clothing"/>
        <s v="Accessories"/>
        <s v="Shoes"/>
      </sharedItems>
    </cacheField>
    <cacheField name="quantity" numFmtId="0">
      <sharedItems containsSemiMixedTypes="0" containsString="0" containsNumber="1" containsInteger="1" minValue="1" maxValue="3"/>
    </cacheField>
    <cacheField name="price" numFmtId="0">
      <sharedItems containsSemiMixedTypes="0" containsString="0" containsNumber="1" containsInteger="1" minValue="4500" maxValue="19800"/>
    </cacheField>
    <cacheField name="order_total" numFmtId="0">
      <sharedItems containsSemiMixedTypes="0" containsString="0" containsNumber="1" containsInteger="1" minValue="4500" maxValue="39600"/>
    </cacheField>
    <cacheField name="Years" numFmtId="0" databaseField="0">
      <fieldGroup base="1">
        <rangePr groupBy="years" startDate="2023-11-01T11:20:00" endDate="2026-01-22T09:50:15"/>
        <groupItems count="6">
          <s v="&lt;11/1/2023"/>
          <s v="2023"/>
          <s v="2024"/>
          <s v="2025"/>
          <s v="2026"/>
          <s v="&gt;1/2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iroslav1" refreshedDate="46048.741077893515" createdVersion="6" refreshedVersion="6" minRefreshableVersion="3" recordCount="16">
  <cacheSource type="worksheet">
    <worksheetSource name="Table1" r:id="rId2"/>
  </cacheSource>
  <cacheFields count="16">
    <cacheField name="id_order" numFmtId="0">
      <sharedItems containsSemiMixedTypes="0" containsString="0" containsNumber="1" containsInteger="1" minValue="1" maxValue="11"/>
    </cacheField>
    <cacheField name="order_date" numFmtId="22">
      <sharedItems containsSemiMixedTypes="0" containsNonDate="0" containsDate="1" containsString="0" minDate="2023-11-01T11:20:00" maxDate="2026-01-22T09:50:15" count="11">
        <d v="2024-06-20T11:55:00"/>
        <d v="2025-01-16T14:20:10"/>
        <d v="2026-01-18T08:15:30"/>
        <d v="2026-01-20T12:15:30"/>
        <d v="2024-04-11T12:20:00"/>
        <d v="2024-05-15T17:40:00"/>
        <d v="2023-11-01T11:20:00"/>
        <d v="2024-02-20T13:30:20"/>
        <d v="2026-01-22T09:50:15"/>
        <d v="2025-02-10T12:20:00"/>
        <d v="2025-03-05T18:45:00"/>
      </sharedItems>
      <fieldGroup par="15" base="1">
        <rangePr groupBy="months" startDate="2023-11-01T11:20:00" endDate="2026-01-22T09:50:15"/>
        <groupItems count="14">
          <s v="&lt;1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2/2026"/>
        </groupItems>
      </fieldGroup>
    </cacheField>
    <cacheField name="order_status" numFmtId="0">
      <sharedItems/>
    </cacheField>
    <cacheField name="id_customer" numFmtId="0">
      <sharedItems containsSemiMixedTypes="0" containsString="0" containsNumber="1" containsInteger="1" minValue="1" maxValue="6"/>
    </cacheField>
    <cacheField name="first_name" numFmtId="0">
      <sharedItems count="6">
        <s v="Marina"/>
        <s v="Ivana"/>
        <s v="Petar"/>
        <s v="Ana"/>
        <s v="Nikola"/>
        <s v="Jelena"/>
      </sharedItems>
    </cacheField>
    <cacheField name="last_name" numFmtId="0">
      <sharedItems count="6">
        <s v="Kovacevic"/>
        <s v="Banovic"/>
        <s v="Petrovic"/>
        <s v="Nikolic"/>
        <s v="Savic"/>
        <s v="Stojanovic"/>
      </sharedItems>
    </cacheField>
    <cacheField name="e_mail" numFmtId="0">
      <sharedItems count="6">
        <s v="marina.kovacevic@gmail.com"/>
        <s v="banovic.ivana@gmail.com"/>
        <s v="p.petrovic@yahoo.com"/>
        <s v="ana.nn@gmail.com"/>
        <s v="nikola.savic@yahoo.com"/>
        <s v="s.jelena@gmail.com"/>
      </sharedItems>
    </cacheField>
    <cacheField name="country" numFmtId="0">
      <sharedItems/>
    </cacheField>
    <cacheField name="city" numFmtId="0">
      <sharedItems/>
    </cacheField>
    <cacheField name="id_product" numFmtId="0">
      <sharedItems containsSemiMixedTypes="0" containsString="0" containsNumber="1" containsInteger="1" minValue="1" maxValue="7"/>
    </cacheField>
    <cacheField name="product_name" numFmtId="0">
      <sharedItems/>
    </cacheField>
    <cacheField name="category" numFmtId="0">
      <sharedItems count="3">
        <s v="Clothing"/>
        <s v="Accessories"/>
        <s v="Shoes"/>
      </sharedItems>
    </cacheField>
    <cacheField name="quantity" numFmtId="0">
      <sharedItems containsSemiMixedTypes="0" containsString="0" containsNumber="1" containsInteger="1" minValue="1" maxValue="3"/>
    </cacheField>
    <cacheField name="price" numFmtId="0">
      <sharedItems containsSemiMixedTypes="0" containsString="0" containsNumber="1" containsInteger="1" minValue="4500" maxValue="19800"/>
    </cacheField>
    <cacheField name="order_total" numFmtId="0">
      <sharedItems containsSemiMixedTypes="0" containsString="0" containsNumber="1" containsInteger="1" minValue="4500" maxValue="39600"/>
    </cacheField>
    <cacheField name="Years" numFmtId="0" databaseField="0">
      <fieldGroup base="1">
        <rangePr groupBy="years" startDate="2023-11-01T11:20:00" endDate="2026-01-22T09:50:15"/>
        <groupItems count="6">
          <s v="&lt;11/1/2023"/>
          <s v="2023"/>
          <s v="2024"/>
          <s v="2025"/>
          <s v="2026"/>
          <s v="&gt;1/2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n v="1"/>
    <x v="0"/>
    <s v="Completed"/>
    <n v="1"/>
    <x v="0"/>
    <x v="0"/>
    <x v="0"/>
    <s v="Serbia"/>
    <s v="Indjija"/>
    <n v="1"/>
    <s v="Dress"/>
    <x v="0"/>
    <n v="2"/>
    <n v="5400"/>
    <n v="10800"/>
  </r>
  <r>
    <n v="1"/>
    <x v="0"/>
    <s v="Completed"/>
    <n v="1"/>
    <x v="0"/>
    <x v="0"/>
    <x v="0"/>
    <s v="Serbia"/>
    <s v="Indjija"/>
    <n v="4"/>
    <s v="Handbag"/>
    <x v="1"/>
    <n v="2"/>
    <n v="19800"/>
    <n v="39600"/>
  </r>
  <r>
    <n v="2"/>
    <x v="1"/>
    <s v="Completed"/>
    <n v="2"/>
    <x v="1"/>
    <x v="1"/>
    <x v="1"/>
    <s v="Serbia"/>
    <s v="Subotica"/>
    <n v="2"/>
    <s v="Leather Boots"/>
    <x v="2"/>
    <n v="1"/>
    <n v="19800"/>
    <n v="19800"/>
  </r>
  <r>
    <n v="3"/>
    <x v="2"/>
    <s v="Completed"/>
    <n v="3"/>
    <x v="2"/>
    <x v="2"/>
    <x v="2"/>
    <s v="Serbia"/>
    <s v="Belgrade"/>
    <n v="3"/>
    <s v="Sneakers"/>
    <x v="2"/>
    <n v="1"/>
    <n v="12600"/>
    <n v="12600"/>
  </r>
  <r>
    <n v="3"/>
    <x v="2"/>
    <s v="Completed"/>
    <n v="3"/>
    <x v="2"/>
    <x v="2"/>
    <x v="2"/>
    <s v="Serbia"/>
    <s v="Belgrade"/>
    <n v="5"/>
    <s v="Men Belt"/>
    <x v="1"/>
    <n v="1"/>
    <n v="4500"/>
    <n v="4500"/>
  </r>
  <r>
    <n v="3"/>
    <x v="2"/>
    <s v="Completed"/>
    <n v="3"/>
    <x v="2"/>
    <x v="2"/>
    <x v="2"/>
    <s v="Serbia"/>
    <s v="Belgrade"/>
    <n v="6"/>
    <s v="Men Wallet"/>
    <x v="1"/>
    <n v="1"/>
    <n v="7000"/>
    <n v="7000"/>
  </r>
  <r>
    <n v="4"/>
    <x v="3"/>
    <s v="Pending"/>
    <n v="3"/>
    <x v="2"/>
    <x v="2"/>
    <x v="2"/>
    <s v="Serbia"/>
    <s v="Belgrade"/>
    <n v="7"/>
    <s v="Men T-Shirt"/>
    <x v="0"/>
    <n v="1"/>
    <n v="5000"/>
    <n v="5000"/>
  </r>
  <r>
    <n v="5"/>
    <x v="4"/>
    <s v="Completed"/>
    <n v="4"/>
    <x v="3"/>
    <x v="3"/>
    <x v="3"/>
    <s v="Serbia"/>
    <s v="Novi Sad"/>
    <n v="2"/>
    <s v="Leather Boots"/>
    <x v="2"/>
    <n v="2"/>
    <n v="19800"/>
    <n v="39600"/>
  </r>
  <r>
    <n v="5"/>
    <x v="4"/>
    <s v="Completed"/>
    <n v="4"/>
    <x v="3"/>
    <x v="3"/>
    <x v="3"/>
    <s v="Serbia"/>
    <s v="Novi Sad"/>
    <n v="4"/>
    <s v="Handbag"/>
    <x v="1"/>
    <n v="1"/>
    <n v="19800"/>
    <n v="19800"/>
  </r>
  <r>
    <n v="6"/>
    <x v="5"/>
    <s v="Completed"/>
    <n v="4"/>
    <x v="3"/>
    <x v="3"/>
    <x v="3"/>
    <s v="Serbia"/>
    <s v="Novi Sad"/>
    <n v="1"/>
    <s v="Dress"/>
    <x v="0"/>
    <n v="1"/>
    <n v="5400"/>
    <n v="5400"/>
  </r>
  <r>
    <n v="7"/>
    <x v="6"/>
    <s v="Completed"/>
    <n v="5"/>
    <x v="4"/>
    <x v="4"/>
    <x v="4"/>
    <s v="Serbia"/>
    <s v="Belgrade"/>
    <n v="7"/>
    <s v="Men T-Shirt"/>
    <x v="0"/>
    <n v="3"/>
    <n v="5000"/>
    <n v="15000"/>
  </r>
  <r>
    <n v="8"/>
    <x v="7"/>
    <s v="Completed"/>
    <n v="5"/>
    <x v="4"/>
    <x v="4"/>
    <x v="4"/>
    <s v="Serbia"/>
    <s v="Belgrade"/>
    <n v="6"/>
    <s v="Men Wallet"/>
    <x v="1"/>
    <n v="1"/>
    <n v="7000"/>
    <n v="7000"/>
  </r>
  <r>
    <n v="9"/>
    <x v="8"/>
    <s v="Pending"/>
    <n v="5"/>
    <x v="4"/>
    <x v="4"/>
    <x v="4"/>
    <s v="Serbia"/>
    <s v="Belgrade"/>
    <n v="5"/>
    <s v="Men Belt"/>
    <x v="1"/>
    <n v="1"/>
    <n v="4500"/>
    <n v="4500"/>
  </r>
  <r>
    <n v="10"/>
    <x v="9"/>
    <s v="Completed"/>
    <n v="6"/>
    <x v="5"/>
    <x v="5"/>
    <x v="5"/>
    <s v="Serbia"/>
    <s v="Kragujevac"/>
    <n v="4"/>
    <s v="Handbag"/>
    <x v="1"/>
    <n v="1"/>
    <n v="19800"/>
    <n v="19800"/>
  </r>
  <r>
    <n v="11"/>
    <x v="10"/>
    <s v="Completed"/>
    <n v="6"/>
    <x v="5"/>
    <x v="5"/>
    <x v="5"/>
    <s v="Serbia"/>
    <s v="Kragujevac"/>
    <n v="1"/>
    <s v="Dress"/>
    <x v="0"/>
    <n v="2"/>
    <n v="5400"/>
    <n v="10800"/>
  </r>
  <r>
    <n v="11"/>
    <x v="10"/>
    <s v="Completed"/>
    <n v="6"/>
    <x v="5"/>
    <x v="5"/>
    <x v="5"/>
    <s v="Serbia"/>
    <s v="Kragujevac"/>
    <n v="2"/>
    <s v="Leather Boots"/>
    <x v="2"/>
    <n v="1"/>
    <n v="19800"/>
    <n v="19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">
  <r>
    <n v="1"/>
    <x v="0"/>
    <s v="Completed"/>
    <n v="1"/>
    <x v="0"/>
    <x v="0"/>
    <x v="0"/>
    <s v="Serbia"/>
    <s v="Indjija"/>
    <n v="1"/>
    <s v="Dress"/>
    <x v="0"/>
    <n v="2"/>
    <n v="5400"/>
    <n v="10800"/>
  </r>
  <r>
    <n v="1"/>
    <x v="0"/>
    <s v="Completed"/>
    <n v="1"/>
    <x v="0"/>
    <x v="0"/>
    <x v="0"/>
    <s v="Serbia"/>
    <s v="Indjija"/>
    <n v="4"/>
    <s v="Handbag"/>
    <x v="1"/>
    <n v="2"/>
    <n v="19800"/>
    <n v="39600"/>
  </r>
  <r>
    <n v="2"/>
    <x v="1"/>
    <s v="Completed"/>
    <n v="2"/>
    <x v="1"/>
    <x v="1"/>
    <x v="1"/>
    <s v="Serbia"/>
    <s v="Subotica"/>
    <n v="2"/>
    <s v="Leather Boots"/>
    <x v="2"/>
    <n v="1"/>
    <n v="19800"/>
    <n v="19800"/>
  </r>
  <r>
    <n v="3"/>
    <x v="2"/>
    <s v="Completed"/>
    <n v="3"/>
    <x v="2"/>
    <x v="2"/>
    <x v="2"/>
    <s v="Serbia"/>
    <s v="Belgrade"/>
    <n v="3"/>
    <s v="Sneakers"/>
    <x v="2"/>
    <n v="1"/>
    <n v="12600"/>
    <n v="12600"/>
  </r>
  <r>
    <n v="3"/>
    <x v="2"/>
    <s v="Completed"/>
    <n v="3"/>
    <x v="2"/>
    <x v="2"/>
    <x v="2"/>
    <s v="Serbia"/>
    <s v="Belgrade"/>
    <n v="5"/>
    <s v="Men Belt"/>
    <x v="1"/>
    <n v="1"/>
    <n v="4500"/>
    <n v="4500"/>
  </r>
  <r>
    <n v="3"/>
    <x v="2"/>
    <s v="Completed"/>
    <n v="3"/>
    <x v="2"/>
    <x v="2"/>
    <x v="2"/>
    <s v="Serbia"/>
    <s v="Belgrade"/>
    <n v="6"/>
    <s v="Men Wallet"/>
    <x v="1"/>
    <n v="1"/>
    <n v="7000"/>
    <n v="7000"/>
  </r>
  <r>
    <n v="4"/>
    <x v="3"/>
    <s v="Pending"/>
    <n v="3"/>
    <x v="2"/>
    <x v="2"/>
    <x v="2"/>
    <s v="Serbia"/>
    <s v="Belgrade"/>
    <n v="7"/>
    <s v="Men T-Shirt"/>
    <x v="0"/>
    <n v="1"/>
    <n v="5000"/>
    <n v="5000"/>
  </r>
  <r>
    <n v="5"/>
    <x v="4"/>
    <s v="Completed"/>
    <n v="4"/>
    <x v="3"/>
    <x v="3"/>
    <x v="3"/>
    <s v="Serbia"/>
    <s v="Novi Sad"/>
    <n v="2"/>
    <s v="Leather Boots"/>
    <x v="2"/>
    <n v="2"/>
    <n v="19800"/>
    <n v="39600"/>
  </r>
  <r>
    <n v="5"/>
    <x v="4"/>
    <s v="Completed"/>
    <n v="4"/>
    <x v="3"/>
    <x v="3"/>
    <x v="3"/>
    <s v="Serbia"/>
    <s v="Novi Sad"/>
    <n v="4"/>
    <s v="Handbag"/>
    <x v="1"/>
    <n v="1"/>
    <n v="19800"/>
    <n v="19800"/>
  </r>
  <r>
    <n v="6"/>
    <x v="5"/>
    <s v="Completed"/>
    <n v="4"/>
    <x v="3"/>
    <x v="3"/>
    <x v="3"/>
    <s v="Serbia"/>
    <s v="Novi Sad"/>
    <n v="1"/>
    <s v="Dress"/>
    <x v="0"/>
    <n v="1"/>
    <n v="5400"/>
    <n v="5400"/>
  </r>
  <r>
    <n v="7"/>
    <x v="6"/>
    <s v="Completed"/>
    <n v="5"/>
    <x v="4"/>
    <x v="4"/>
    <x v="4"/>
    <s v="Serbia"/>
    <s v="Belgrade"/>
    <n v="7"/>
    <s v="Men T-Shirt"/>
    <x v="0"/>
    <n v="3"/>
    <n v="5000"/>
    <n v="15000"/>
  </r>
  <r>
    <n v="8"/>
    <x v="7"/>
    <s v="Completed"/>
    <n v="5"/>
    <x v="4"/>
    <x v="4"/>
    <x v="4"/>
    <s v="Serbia"/>
    <s v="Belgrade"/>
    <n v="6"/>
    <s v="Men Wallet"/>
    <x v="1"/>
    <n v="1"/>
    <n v="7000"/>
    <n v="7000"/>
  </r>
  <r>
    <n v="9"/>
    <x v="8"/>
    <s v="Pending"/>
    <n v="5"/>
    <x v="4"/>
    <x v="4"/>
    <x v="4"/>
    <s v="Serbia"/>
    <s v="Belgrade"/>
    <n v="5"/>
    <s v="Men Belt"/>
    <x v="1"/>
    <n v="1"/>
    <n v="4500"/>
    <n v="4500"/>
  </r>
  <r>
    <n v="10"/>
    <x v="9"/>
    <s v="Completed"/>
    <n v="6"/>
    <x v="5"/>
    <x v="5"/>
    <x v="5"/>
    <s v="Serbia"/>
    <s v="Kragujevac"/>
    <n v="4"/>
    <s v="Handbag"/>
    <x v="1"/>
    <n v="1"/>
    <n v="19800"/>
    <n v="19800"/>
  </r>
  <r>
    <n v="11"/>
    <x v="10"/>
    <s v="Completed"/>
    <n v="6"/>
    <x v="5"/>
    <x v="5"/>
    <x v="5"/>
    <s v="Serbia"/>
    <s v="Kragujevac"/>
    <n v="1"/>
    <s v="Dress"/>
    <x v="0"/>
    <n v="2"/>
    <n v="5400"/>
    <n v="10800"/>
  </r>
  <r>
    <n v="11"/>
    <x v="10"/>
    <s v="Completed"/>
    <n v="6"/>
    <x v="5"/>
    <x v="5"/>
    <x v="5"/>
    <s v="Serbia"/>
    <s v="Kragujevac"/>
    <n v="2"/>
    <s v="Leather Boots"/>
    <x v="2"/>
    <n v="1"/>
    <n v="19800"/>
    <n v="19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C17" firstHeaderRow="1" firstDataRow="1" firstDataCol="2"/>
  <pivotFields count="16">
    <pivotField compact="0" outline="0" showAll="0"/>
    <pivotField compact="0" numFmtId="22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1"/>
    <field x="15"/>
  </rowFields>
  <rowItems count="14">
    <i>
      <x/>
      <x v="2"/>
    </i>
    <i r="1">
      <x v="3"/>
    </i>
    <i r="1">
      <x v="4"/>
    </i>
    <i t="default">
      <x/>
    </i>
    <i>
      <x v="1"/>
      <x v="1"/>
    </i>
    <i r="1">
      <x v="2"/>
    </i>
    <i r="1">
      <x v="3"/>
    </i>
    <i r="1">
      <x v="4"/>
    </i>
    <i t="default">
      <x v="1"/>
    </i>
    <i>
      <x v="2"/>
      <x v="2"/>
    </i>
    <i r="1">
      <x v="3"/>
    </i>
    <i r="1">
      <x v="4"/>
    </i>
    <i t="default">
      <x v="2"/>
    </i>
    <i t="grand">
      <x/>
    </i>
  </rowItems>
  <colItems count="1">
    <i/>
  </colItems>
  <dataFields count="1">
    <dataField name="Sum of order_total" fld="14" baseField="11" baseItem="0" numFmtId="164"/>
  </dataFields>
  <formats count="3">
    <format dxfId="0">
      <pivotArea outline="0" fieldPosition="0">
        <references count="2">
          <reference field="11" count="1" selected="0">
            <x v="0"/>
          </reference>
          <reference field="15" count="3" selected="0">
            <x v="2"/>
            <x v="3"/>
            <x v="4"/>
          </reference>
        </references>
      </pivotArea>
    </format>
    <format dxfId="1">
      <pivotArea dataOnly="0" labelOnly="1" outline="0" fieldPosition="0">
        <references count="2">
          <reference field="11" count="1" selected="0">
            <x v="0"/>
          </reference>
          <reference field="15" count="3">
            <x v="2"/>
            <x v="3"/>
            <x v="4"/>
          </reference>
        </references>
      </pivotArea>
    </format>
    <format dxfId="2">
      <pivotArea dataOnly="0" outline="0" fieldPosition="0">
        <references count="1">
          <reference field="15" count="4">
            <x v="1"/>
            <x v="2"/>
            <x v="3"/>
            <x v="4"/>
          </reference>
        </references>
      </pivotArea>
    </format>
  </formats>
  <chartFormats count="22">
    <chartFormat chart="1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5" count="1" selected="0">
            <x v="2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5" count="1" selected="0">
            <x v="3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5" count="1" selected="0">
            <x v="4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5" count="1" selected="0">
            <x v="1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5" count="1" selected="0">
            <x v="2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5" count="1" selected="0">
            <x v="3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5" count="1" selected="0">
            <x v="4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5" count="1" selected="0">
            <x v="2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5" count="1" selected="0">
            <x v="3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0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5" count="1" selected="0">
            <x v="2"/>
          </reference>
        </references>
      </pivotArea>
    </chartFormat>
    <chartFormat chart="3" format="2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5" count="1" selected="0">
            <x v="3"/>
          </reference>
        </references>
      </pivotArea>
    </chartFormat>
    <chartFormat chart="3" format="22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5" count="1" selected="0">
            <x v="4"/>
          </reference>
        </references>
      </pivotArea>
    </chartFormat>
    <chartFormat chart="3" format="23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5" count="1" selected="0">
            <x v="1"/>
          </reference>
        </references>
      </pivotArea>
    </chartFormat>
    <chartFormat chart="3" format="24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5" count="1" selected="0">
            <x v="2"/>
          </reference>
        </references>
      </pivotArea>
    </chartFormat>
    <chartFormat chart="3" format="2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5" count="1" selected="0">
            <x v="3"/>
          </reference>
        </references>
      </pivotArea>
    </chartFormat>
    <chartFormat chart="3" format="26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5" count="1" selected="0">
            <x v="4"/>
          </reference>
        </references>
      </pivotArea>
    </chartFormat>
    <chartFormat chart="3" format="27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5" count="1" selected="0">
            <x v="2"/>
          </reference>
        </references>
      </pivotArea>
    </chartFormat>
    <chartFormat chart="3" format="28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5" count="1" selected="0">
            <x v="3"/>
          </reference>
        </references>
      </pivotArea>
    </chartFormat>
    <chartFormat chart="3" format="29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outline="1" outlineData="1" multipleFieldFilters="0" chartFormat="2">
  <location ref="A3:B17" firstHeaderRow="1" firstDataRow="1" firstDataCol="1"/>
  <pivotFields count="16">
    <pivotField showAll="0"/>
    <pivotField axis="axisRow"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5"/>
    <field x="1"/>
  </rowFields>
  <rowItems count="14">
    <i>
      <x v="1"/>
    </i>
    <i r="1">
      <x v="11"/>
    </i>
    <i>
      <x v="2"/>
    </i>
    <i r="1">
      <x v="2"/>
    </i>
    <i r="1">
      <x v="4"/>
    </i>
    <i r="1">
      <x v="5"/>
    </i>
    <i r="1">
      <x v="6"/>
    </i>
    <i>
      <x v="3"/>
    </i>
    <i r="1">
      <x v="1"/>
    </i>
    <i r="1">
      <x v="2"/>
    </i>
    <i r="1">
      <x v="3"/>
    </i>
    <i>
      <x v="4"/>
    </i>
    <i r="1">
      <x v="1"/>
    </i>
    <i t="grand">
      <x/>
    </i>
  </rowItems>
  <colItems count="1">
    <i/>
  </colItems>
  <dataFields count="1">
    <dataField name="Sum of order_total" fld="14" baseField="1" baseItem="5" numFmtId="164"/>
  </dataFields>
  <chartFormats count="9">
    <chartFormat chart="1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5" count="1" selected="0">
            <x v="1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2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2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5" count="1" selected="0">
            <x v="2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3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3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5" count="1" selected="0">
            <x v="3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outline="1" outlineData="1" multipleFieldFilters="0" chartFormat="4">
  <location ref="A3:F15" firstHeaderRow="1" firstDataRow="2" firstDataCol="1"/>
  <pivotFields count="16">
    <pivotField showAll="0"/>
    <pivotField numFmtId="22" showAll="0"/>
    <pivotField showAll="0"/>
    <pivotField showAll="0"/>
    <pivotField axis="axisRow" showAll="0" measureFilter="1">
      <items count="7">
        <item x="3"/>
        <item x="1"/>
        <item x="5"/>
        <item x="0"/>
        <item x="4"/>
        <item x="2"/>
        <item t="default"/>
      </items>
    </pivotField>
    <pivotField axis="axisRow" showAll="0" sortType="descending">
      <items count="7">
        <item x="1"/>
        <item x="0"/>
        <item x="3"/>
        <item x="2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 defaultSubtotal="0">
      <items count="6">
        <item x="0"/>
        <item x="1"/>
        <item x="2"/>
        <item x="3"/>
        <item x="4"/>
        <item x="5"/>
      </items>
    </pivotField>
  </pivotFields>
  <rowFields count="2">
    <field x="4"/>
    <field x="5"/>
  </rowFields>
  <rowItems count="11">
    <i>
      <x/>
    </i>
    <i r="1">
      <x v="2"/>
    </i>
    <i>
      <x v="2"/>
    </i>
    <i r="1">
      <x v="5"/>
    </i>
    <i>
      <x v="3"/>
    </i>
    <i r="1">
      <x v="1"/>
    </i>
    <i>
      <x v="4"/>
    </i>
    <i r="1">
      <x v="4"/>
    </i>
    <i>
      <x v="5"/>
    </i>
    <i r="1">
      <x v="3"/>
    </i>
    <i t="grand">
      <x/>
    </i>
  </rowItems>
  <colFields count="1">
    <field x="15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order_total" fld="14" baseField="6" baseItem="0" numFmtId="164"/>
  </dataFields>
  <chartFormats count="1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3" format="29">
      <pivotArea type="data" outline="0" fieldPosition="0">
        <references count="4">
          <reference field="4294967294" count="1" selected="0">
            <x v="0"/>
          </reference>
          <reference field="4" count="1" selected="0">
            <x v="4"/>
          </reference>
          <reference field="5" count="1" selected="0">
            <x v="4"/>
          </reference>
          <reference field="15" count="1" selected="0">
            <x v="2"/>
          </reference>
        </references>
      </pivotArea>
    </chartFormat>
    <chartFormat chart="3" format="30">
      <pivotArea type="data" outline="0" fieldPosition="0">
        <references count="4">
          <reference field="4294967294" count="1" selected="0">
            <x v="0"/>
          </reference>
          <reference field="4" count="1" selected="0">
            <x v="4"/>
          </reference>
          <reference field="5" count="1" selected="0">
            <x v="4"/>
          </reference>
          <reference field="15" count="1" selected="0">
            <x v="4"/>
          </reference>
        </references>
      </pivotArea>
    </chartFormat>
    <chartFormat chart="3" format="31">
      <pivotArea type="data" outline="0" fieldPosition="0">
        <references count="4">
          <reference field="4294967294" count="1" selected="0">
            <x v="0"/>
          </reference>
          <reference field="4" count="1" selected="0">
            <x v="4"/>
          </reference>
          <reference field="5" count="1" selected="0">
            <x v="4"/>
          </reference>
          <reference field="15" count="1" selected="0">
            <x v="1"/>
          </reference>
        </references>
      </pivotArea>
    </chartFormat>
    <chartFormat chart="3" format="32">
      <pivotArea type="data" outline="0" fieldPosition="0">
        <references count="4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15" count="1" selected="0">
            <x v="2"/>
          </reference>
        </references>
      </pivotArea>
    </chartFormat>
    <chartFormat chart="3" format="33">
      <pivotArea type="data" outline="0" fieldPosition="0">
        <references count="4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5"/>
          </reference>
          <reference field="15" count="1" selected="0">
            <x v="3"/>
          </reference>
        </references>
      </pivotArea>
    </chartFormat>
    <chartFormat chart="3" format="34">
      <pivotArea type="data" outline="0" fieldPosition="0">
        <references count="4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1"/>
          </reference>
          <reference field="15" count="1" selected="0">
            <x v="2"/>
          </reference>
        </references>
      </pivotArea>
    </chartFormat>
    <chartFormat chart="3" format="35">
      <pivotArea type="data" outline="0" fieldPosition="0">
        <references count="4">
          <reference field="4294967294" count="1" selected="0">
            <x v="0"/>
          </reference>
          <reference field="4" count="1" selected="0">
            <x v="5"/>
          </reference>
          <reference field="5" count="1" selected="0">
            <x v="3"/>
          </reference>
          <reference field="15" count="1" selected="0">
            <x v="4"/>
          </reference>
        </references>
      </pivotArea>
    </chartFormat>
  </chartFormats>
  <pivotTableStyleInfo name="PivotStyleLight13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6" firstHeaderRow="1" firstDataRow="1" firstDataCol="1"/>
  <pivotFields count="16">
    <pivotField showAll="0"/>
    <pivotField numFmtId="22" showAll="0"/>
    <pivotField showAll="0"/>
    <pivotField showAll="0"/>
    <pivotField axis="axisRow" showAll="0" sortType="ascending">
      <items count="7">
        <item x="3"/>
        <item x="1"/>
        <item x="5"/>
        <item x="0"/>
        <item x="4"/>
        <item x="2"/>
        <item t="default"/>
      </items>
    </pivotField>
    <pivotField axis="axisRow" showAll="0">
      <items count="7">
        <item sd="0" x="1"/>
        <item sd="0" x="0"/>
        <item sd="0" x="3"/>
        <item sd="0" x="2"/>
        <item sd="0" x="4"/>
        <item sd="0" x="5"/>
        <item t="default" sd="0"/>
      </items>
    </pivotField>
    <pivotField showAll="0" sortType="descending">
      <items count="7">
        <item x="5"/>
        <item x="2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sortType="descending">
      <items count="7">
        <item x="4"/>
        <item x="3"/>
        <item x="2"/>
        <item x="1"/>
        <item x="5"/>
        <item x="0"/>
        <item t="default"/>
      </items>
    </pivotField>
  </pivotFields>
  <rowFields count="2">
    <field x="4"/>
    <field x="5"/>
  </rowFields>
  <rowItems count="13">
    <i>
      <x/>
    </i>
    <i r="1">
      <x v="2"/>
    </i>
    <i>
      <x v="1"/>
    </i>
    <i r="1">
      <x/>
    </i>
    <i>
      <x v="2"/>
    </i>
    <i r="1">
      <x v="5"/>
    </i>
    <i>
      <x v="3"/>
    </i>
    <i r="1">
      <x v="1"/>
    </i>
    <i>
      <x v="4"/>
    </i>
    <i r="1">
      <x v="4"/>
    </i>
    <i>
      <x v="5"/>
    </i>
    <i r="1">
      <x v="3"/>
    </i>
    <i t="grand">
      <x/>
    </i>
  </rowItems>
  <colItems count="1">
    <i/>
  </colItems>
  <dataFields count="1">
    <dataField name="Average of order_total" fld="14" subtotal="average" baseField="0" baseItem="0" numFmtId="164"/>
  </dataFields>
  <chartFormats count="7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5" count="1" selected="0">
            <x v="3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5" count="1" selected="0">
            <x v="4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5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17" totalsRowShown="0">
  <autoFilter ref="A1:O17"/>
  <tableColumns count="15">
    <tableColumn id="1" name="id_order"/>
    <tableColumn id="2" name="order_date" dataDxfId="3"/>
    <tableColumn id="3" name="order_status"/>
    <tableColumn id="4" name="id_customer"/>
    <tableColumn id="5" name="first_name"/>
    <tableColumn id="6" name="last_name"/>
    <tableColumn id="7" name="e_mail"/>
    <tableColumn id="8" name="country"/>
    <tableColumn id="9" name="city"/>
    <tableColumn id="10" name="id_product"/>
    <tableColumn id="11" name="product_name"/>
    <tableColumn id="12" name="category"/>
    <tableColumn id="13" name="quantity"/>
    <tableColumn id="14" name="price"/>
    <tableColumn id="15" name="order_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7"/>
  <sheetViews>
    <sheetView workbookViewId="0">
      <selection activeCell="D27" sqref="D27"/>
    </sheetView>
  </sheetViews>
  <sheetFormatPr defaultRowHeight="15" x14ac:dyDescent="0.25"/>
  <cols>
    <col min="1" max="1" width="11.28515625" customWidth="1"/>
    <col min="2" max="2" width="15.42578125" customWidth="1"/>
    <col min="3" max="3" width="17.85546875" bestFit="1" customWidth="1"/>
  </cols>
  <sheetData>
    <row r="3" spans="1:3" x14ac:dyDescent="0.25">
      <c r="A3" s="2" t="s">
        <v>11</v>
      </c>
      <c r="B3" s="2" t="s">
        <v>66</v>
      </c>
      <c r="C3" t="s">
        <v>53</v>
      </c>
    </row>
    <row r="4" spans="1:3" x14ac:dyDescent="0.25">
      <c r="A4" t="s">
        <v>24</v>
      </c>
      <c r="B4" s="7" t="s">
        <v>56</v>
      </c>
      <c r="C4" s="8">
        <v>66400</v>
      </c>
    </row>
    <row r="5" spans="1:3" x14ac:dyDescent="0.25">
      <c r="B5" s="7" t="s">
        <v>61</v>
      </c>
      <c r="C5" s="8">
        <v>19800</v>
      </c>
    </row>
    <row r="6" spans="1:3" x14ac:dyDescent="0.25">
      <c r="B6" s="7" t="s">
        <v>64</v>
      </c>
      <c r="C6" s="8">
        <v>16000</v>
      </c>
    </row>
    <row r="7" spans="1:3" x14ac:dyDescent="0.25">
      <c r="A7" t="s">
        <v>67</v>
      </c>
      <c r="C7" s="4">
        <v>102200</v>
      </c>
    </row>
    <row r="8" spans="1:3" x14ac:dyDescent="0.25">
      <c r="A8" t="s">
        <v>22</v>
      </c>
      <c r="B8" s="7" t="s">
        <v>54</v>
      </c>
      <c r="C8" s="8">
        <v>15000</v>
      </c>
    </row>
    <row r="9" spans="1:3" x14ac:dyDescent="0.25">
      <c r="B9" s="7" t="s">
        <v>56</v>
      </c>
      <c r="C9" s="8">
        <v>16200</v>
      </c>
    </row>
    <row r="10" spans="1:3" x14ac:dyDescent="0.25">
      <c r="B10" s="7" t="s">
        <v>61</v>
      </c>
      <c r="C10" s="8">
        <v>10800</v>
      </c>
    </row>
    <row r="11" spans="1:3" x14ac:dyDescent="0.25">
      <c r="B11" s="7" t="s">
        <v>64</v>
      </c>
      <c r="C11" s="8">
        <v>5000</v>
      </c>
    </row>
    <row r="12" spans="1:3" x14ac:dyDescent="0.25">
      <c r="A12" t="s">
        <v>68</v>
      </c>
      <c r="C12" s="4">
        <v>47000</v>
      </c>
    </row>
    <row r="13" spans="1:3" x14ac:dyDescent="0.25">
      <c r="A13" t="s">
        <v>30</v>
      </c>
      <c r="B13" s="7" t="s">
        <v>56</v>
      </c>
      <c r="C13" s="8">
        <v>39600</v>
      </c>
    </row>
    <row r="14" spans="1:3" x14ac:dyDescent="0.25">
      <c r="B14" s="7" t="s">
        <v>61</v>
      </c>
      <c r="C14" s="8">
        <v>39600</v>
      </c>
    </row>
    <row r="15" spans="1:3" x14ac:dyDescent="0.25">
      <c r="B15" s="7" t="s">
        <v>64</v>
      </c>
      <c r="C15" s="8">
        <v>12600</v>
      </c>
    </row>
    <row r="16" spans="1:3" x14ac:dyDescent="0.25">
      <c r="A16" t="s">
        <v>69</v>
      </c>
      <c r="C16" s="4">
        <v>91800</v>
      </c>
    </row>
    <row r="17" spans="1:3" x14ac:dyDescent="0.25">
      <c r="A17" t="s">
        <v>52</v>
      </c>
      <c r="C17" s="4">
        <v>241000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7"/>
  <sheetViews>
    <sheetView workbookViewId="0">
      <selection activeCell="G31" sqref="G31"/>
    </sheetView>
  </sheetViews>
  <sheetFormatPr defaultRowHeight="15" x14ac:dyDescent="0.25"/>
  <cols>
    <col min="1" max="1" width="11.28515625" customWidth="1"/>
    <col min="2" max="2" width="17.85546875" customWidth="1"/>
    <col min="3" max="3" width="17.85546875" bestFit="1" customWidth="1"/>
  </cols>
  <sheetData>
    <row r="2" spans="1:13" x14ac:dyDescent="0.25">
      <c r="G2" s="9"/>
      <c r="H2" s="9"/>
      <c r="I2" s="9"/>
      <c r="J2" s="9"/>
      <c r="K2" s="9"/>
      <c r="L2" s="9"/>
      <c r="M2" s="9"/>
    </row>
    <row r="3" spans="1:13" x14ac:dyDescent="0.25">
      <c r="B3" t="s">
        <v>53</v>
      </c>
      <c r="G3" s="9"/>
      <c r="H3" s="9"/>
      <c r="I3" s="9"/>
      <c r="J3" s="9"/>
      <c r="K3" s="9"/>
      <c r="L3" s="9"/>
      <c r="M3" s="9"/>
    </row>
    <row r="4" spans="1:13" x14ac:dyDescent="0.25">
      <c r="A4" s="3" t="s">
        <v>54</v>
      </c>
      <c r="B4" s="4"/>
    </row>
    <row r="5" spans="1:13" x14ac:dyDescent="0.25">
      <c r="A5" s="6" t="s">
        <v>55</v>
      </c>
      <c r="B5" s="4">
        <v>15000</v>
      </c>
    </row>
    <row r="6" spans="1:13" x14ac:dyDescent="0.25">
      <c r="A6" s="3" t="s">
        <v>56</v>
      </c>
      <c r="B6" s="4"/>
    </row>
    <row r="7" spans="1:13" x14ac:dyDescent="0.25">
      <c r="A7" s="6" t="s">
        <v>57</v>
      </c>
      <c r="B7" s="4">
        <v>7000</v>
      </c>
    </row>
    <row r="8" spans="1:13" x14ac:dyDescent="0.25">
      <c r="A8" s="6" t="s">
        <v>58</v>
      </c>
      <c r="B8" s="4">
        <v>59400</v>
      </c>
    </row>
    <row r="9" spans="1:13" x14ac:dyDescent="0.25">
      <c r="A9" s="6" t="s">
        <v>59</v>
      </c>
      <c r="B9" s="4">
        <v>5400</v>
      </c>
    </row>
    <row r="10" spans="1:13" x14ac:dyDescent="0.25">
      <c r="A10" s="6" t="s">
        <v>60</v>
      </c>
      <c r="B10" s="4">
        <v>50400</v>
      </c>
    </row>
    <row r="11" spans="1:13" x14ac:dyDescent="0.25">
      <c r="A11" s="3" t="s">
        <v>61</v>
      </c>
      <c r="B11" s="4"/>
    </row>
    <row r="12" spans="1:13" x14ac:dyDescent="0.25">
      <c r="A12" s="6" t="s">
        <v>62</v>
      </c>
      <c r="B12" s="4">
        <v>19800</v>
      </c>
    </row>
    <row r="13" spans="1:13" x14ac:dyDescent="0.25">
      <c r="A13" s="6" t="s">
        <v>57</v>
      </c>
      <c r="B13" s="4">
        <v>19800</v>
      </c>
    </row>
    <row r="14" spans="1:13" x14ac:dyDescent="0.25">
      <c r="A14" s="6" t="s">
        <v>63</v>
      </c>
      <c r="B14" s="4">
        <v>30600</v>
      </c>
    </row>
    <row r="15" spans="1:13" x14ac:dyDescent="0.25">
      <c r="A15" s="3" t="s">
        <v>64</v>
      </c>
      <c r="B15" s="4"/>
    </row>
    <row r="16" spans="1:13" x14ac:dyDescent="0.25">
      <c r="A16" s="6" t="s">
        <v>62</v>
      </c>
      <c r="B16" s="4">
        <v>33600</v>
      </c>
    </row>
    <row r="17" spans="1:2" x14ac:dyDescent="0.25">
      <c r="A17" s="3" t="s">
        <v>52</v>
      </c>
      <c r="B17" s="4">
        <v>241000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5"/>
  <sheetViews>
    <sheetView zoomScale="96" zoomScaleNormal="96" workbookViewId="0">
      <selection activeCell="V30" sqref="V30"/>
    </sheetView>
  </sheetViews>
  <sheetFormatPr defaultRowHeight="15" x14ac:dyDescent="0.25"/>
  <cols>
    <col min="1" max="1" width="18" customWidth="1"/>
    <col min="2" max="2" width="13.7109375" customWidth="1"/>
    <col min="3" max="3" width="14.7109375" customWidth="1"/>
    <col min="4" max="5" width="13.7109375" customWidth="1"/>
    <col min="6" max="7" width="14.7109375" bestFit="1" customWidth="1"/>
  </cols>
  <sheetData>
    <row r="3" spans="1:6" x14ac:dyDescent="0.25">
      <c r="A3" s="2" t="s">
        <v>53</v>
      </c>
    </row>
    <row r="4" spans="1:6" x14ac:dyDescent="0.25">
      <c r="B4" t="s">
        <v>54</v>
      </c>
      <c r="C4" t="s">
        <v>56</v>
      </c>
      <c r="D4" t="s">
        <v>61</v>
      </c>
      <c r="E4" t="s">
        <v>64</v>
      </c>
      <c r="F4" t="s">
        <v>52</v>
      </c>
    </row>
    <row r="5" spans="1:6" x14ac:dyDescent="0.25">
      <c r="A5" s="3" t="s">
        <v>40</v>
      </c>
      <c r="B5" s="4"/>
      <c r="C5" s="4">
        <v>64800</v>
      </c>
      <c r="D5" s="4"/>
      <c r="E5" s="4"/>
      <c r="F5" s="4">
        <v>64800</v>
      </c>
    </row>
    <row r="6" spans="1:6" x14ac:dyDescent="0.25">
      <c r="A6" s="5" t="s">
        <v>41</v>
      </c>
      <c r="B6" s="4"/>
      <c r="C6" s="4">
        <v>64800</v>
      </c>
      <c r="D6" s="4"/>
      <c r="E6" s="4"/>
      <c r="F6" s="4">
        <v>64800</v>
      </c>
    </row>
    <row r="7" spans="1:6" x14ac:dyDescent="0.25">
      <c r="A7" s="3" t="s">
        <v>47</v>
      </c>
      <c r="B7" s="4"/>
      <c r="C7" s="4"/>
      <c r="D7" s="4">
        <v>50400</v>
      </c>
      <c r="E7" s="4"/>
      <c r="F7" s="4">
        <v>50400</v>
      </c>
    </row>
    <row r="8" spans="1:6" x14ac:dyDescent="0.25">
      <c r="A8" s="5" t="s">
        <v>48</v>
      </c>
      <c r="B8" s="4"/>
      <c r="C8" s="4"/>
      <c r="D8" s="4">
        <v>50400</v>
      </c>
      <c r="E8" s="4"/>
      <c r="F8" s="4">
        <v>50400</v>
      </c>
    </row>
    <row r="9" spans="1:6" x14ac:dyDescent="0.25">
      <c r="A9" s="3" t="s">
        <v>16</v>
      </c>
      <c r="B9" s="4"/>
      <c r="C9" s="4">
        <v>50400</v>
      </c>
      <c r="D9" s="4"/>
      <c r="E9" s="4"/>
      <c r="F9" s="4">
        <v>50400</v>
      </c>
    </row>
    <row r="10" spans="1:6" x14ac:dyDescent="0.25">
      <c r="A10" s="5" t="s">
        <v>17</v>
      </c>
      <c r="B10" s="4"/>
      <c r="C10" s="4">
        <v>50400</v>
      </c>
      <c r="D10" s="4"/>
      <c r="E10" s="4"/>
      <c r="F10" s="4">
        <v>50400</v>
      </c>
    </row>
    <row r="11" spans="1:6" x14ac:dyDescent="0.25">
      <c r="A11" s="3" t="s">
        <v>44</v>
      </c>
      <c r="B11" s="4">
        <v>15000</v>
      </c>
      <c r="C11" s="4">
        <v>7000</v>
      </c>
      <c r="D11" s="4"/>
      <c r="E11" s="4">
        <v>4500</v>
      </c>
      <c r="F11" s="4">
        <v>26500</v>
      </c>
    </row>
    <row r="12" spans="1:6" x14ac:dyDescent="0.25">
      <c r="A12" s="5" t="s">
        <v>45</v>
      </c>
      <c r="B12" s="4">
        <v>15000</v>
      </c>
      <c r="C12" s="4">
        <v>7000</v>
      </c>
      <c r="D12" s="4"/>
      <c r="E12" s="4">
        <v>4500</v>
      </c>
      <c r="F12" s="4">
        <v>26500</v>
      </c>
    </row>
    <row r="13" spans="1:6" x14ac:dyDescent="0.25">
      <c r="A13" s="3" t="s">
        <v>31</v>
      </c>
      <c r="B13" s="4"/>
      <c r="C13" s="4"/>
      <c r="D13" s="4"/>
      <c r="E13" s="4">
        <v>29100</v>
      </c>
      <c r="F13" s="4">
        <v>29100</v>
      </c>
    </row>
    <row r="14" spans="1:6" x14ac:dyDescent="0.25">
      <c r="A14" s="5" t="s">
        <v>32</v>
      </c>
      <c r="B14" s="4"/>
      <c r="C14" s="4"/>
      <c r="D14" s="4"/>
      <c r="E14" s="4">
        <v>29100</v>
      </c>
      <c r="F14" s="4">
        <v>29100</v>
      </c>
    </row>
    <row r="15" spans="1:6" x14ac:dyDescent="0.25">
      <c r="A15" s="3" t="s">
        <v>52</v>
      </c>
      <c r="B15" s="4">
        <v>15000</v>
      </c>
      <c r="C15" s="4">
        <v>122200</v>
      </c>
      <c r="D15" s="4">
        <v>50400</v>
      </c>
      <c r="E15" s="4">
        <v>33600</v>
      </c>
      <c r="F15" s="4">
        <v>221200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E22" sqref="E22"/>
    </sheetView>
  </sheetViews>
  <sheetFormatPr defaultRowHeight="15" x14ac:dyDescent="0.25"/>
  <cols>
    <col min="1" max="1" width="13.85546875" customWidth="1"/>
    <col min="2" max="2" width="21.42578125" customWidth="1"/>
    <col min="3" max="3" width="13.140625" customWidth="1"/>
    <col min="4" max="6" width="13.140625" bestFit="1" customWidth="1"/>
  </cols>
  <sheetData>
    <row r="3" spans="1:2" x14ac:dyDescent="0.25">
      <c r="A3" s="2" t="s">
        <v>51</v>
      </c>
      <c r="B3" t="s">
        <v>65</v>
      </c>
    </row>
    <row r="4" spans="1:2" x14ac:dyDescent="0.25">
      <c r="A4" s="3" t="s">
        <v>40</v>
      </c>
      <c r="B4" s="4">
        <v>21600</v>
      </c>
    </row>
    <row r="5" spans="1:2" x14ac:dyDescent="0.25">
      <c r="A5" s="5" t="s">
        <v>41</v>
      </c>
      <c r="B5" s="4">
        <v>21600</v>
      </c>
    </row>
    <row r="6" spans="1:2" x14ac:dyDescent="0.25">
      <c r="A6" s="3" t="s">
        <v>25</v>
      </c>
      <c r="B6" s="4">
        <v>19800</v>
      </c>
    </row>
    <row r="7" spans="1:2" x14ac:dyDescent="0.25">
      <c r="A7" s="5" t="s">
        <v>26</v>
      </c>
      <c r="B7" s="4">
        <v>19800</v>
      </c>
    </row>
    <row r="8" spans="1:2" x14ac:dyDescent="0.25">
      <c r="A8" s="3" t="s">
        <v>47</v>
      </c>
      <c r="B8" s="4">
        <v>16800</v>
      </c>
    </row>
    <row r="9" spans="1:2" x14ac:dyDescent="0.25">
      <c r="A9" s="5" t="s">
        <v>48</v>
      </c>
      <c r="B9" s="4">
        <v>16800</v>
      </c>
    </row>
    <row r="10" spans="1:2" x14ac:dyDescent="0.25">
      <c r="A10" s="3" t="s">
        <v>16</v>
      </c>
      <c r="B10" s="4">
        <v>25200</v>
      </c>
    </row>
    <row r="11" spans="1:2" x14ac:dyDescent="0.25">
      <c r="A11" s="5" t="s">
        <v>17</v>
      </c>
      <c r="B11" s="4">
        <v>25200</v>
      </c>
    </row>
    <row r="12" spans="1:2" x14ac:dyDescent="0.25">
      <c r="A12" s="3" t="s">
        <v>44</v>
      </c>
      <c r="B12" s="4">
        <v>8833.3333333333339</v>
      </c>
    </row>
    <row r="13" spans="1:2" x14ac:dyDescent="0.25">
      <c r="A13" s="5" t="s">
        <v>45</v>
      </c>
      <c r="B13" s="4">
        <v>8833.3333333333339</v>
      </c>
    </row>
    <row r="14" spans="1:2" x14ac:dyDescent="0.25">
      <c r="A14" s="3" t="s">
        <v>31</v>
      </c>
      <c r="B14" s="4">
        <v>7275</v>
      </c>
    </row>
    <row r="15" spans="1:2" x14ac:dyDescent="0.25">
      <c r="A15" s="5" t="s">
        <v>32</v>
      </c>
      <c r="B15" s="4">
        <v>7275</v>
      </c>
    </row>
    <row r="16" spans="1:2" x14ac:dyDescent="0.25">
      <c r="A16" s="3" t="s">
        <v>52</v>
      </c>
      <c r="B16" s="4">
        <v>15062.5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I28" sqref="I28"/>
    </sheetView>
  </sheetViews>
  <sheetFormatPr defaultRowHeight="15" x14ac:dyDescent="0.25"/>
  <cols>
    <col min="1" max="1" width="10.7109375" customWidth="1"/>
    <col min="2" max="2" width="14.85546875" bestFit="1" customWidth="1"/>
    <col min="3" max="3" width="14.28515625" customWidth="1"/>
    <col min="4" max="4" width="14.140625" customWidth="1"/>
    <col min="5" max="5" width="12.7109375" customWidth="1"/>
    <col min="6" max="6" width="12.28515625" customWidth="1"/>
    <col min="7" max="9" width="12" bestFit="1" customWidth="1"/>
    <col min="10" max="10" width="12.7109375" customWidth="1"/>
    <col min="11" max="11" width="16" customWidth="1"/>
    <col min="12" max="12" width="11.28515625" bestFit="1" customWidth="1"/>
    <col min="13" max="13" width="10.5703125" customWidth="1"/>
    <col min="14" max="14" width="7.5703125" customWidth="1"/>
    <col min="15" max="15" width="13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>
        <v>45463.496527777781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1</v>
      </c>
      <c r="K2" t="s">
        <v>21</v>
      </c>
      <c r="L2" t="s">
        <v>22</v>
      </c>
      <c r="M2">
        <v>2</v>
      </c>
      <c r="N2">
        <v>5400</v>
      </c>
      <c r="O2">
        <v>10800</v>
      </c>
    </row>
    <row r="3" spans="1:15" x14ac:dyDescent="0.25">
      <c r="A3">
        <v>1</v>
      </c>
      <c r="B3" s="1">
        <v>45463.496527777781</v>
      </c>
      <c r="C3" t="s">
        <v>15</v>
      </c>
      <c r="D3">
        <v>1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>
        <v>4</v>
      </c>
      <c r="K3" t="s">
        <v>23</v>
      </c>
      <c r="L3" t="s">
        <v>24</v>
      </c>
      <c r="M3">
        <v>2</v>
      </c>
      <c r="N3">
        <v>19800</v>
      </c>
      <c r="O3">
        <v>39600</v>
      </c>
    </row>
    <row r="4" spans="1:15" x14ac:dyDescent="0.25">
      <c r="A4">
        <v>2</v>
      </c>
      <c r="B4" s="1">
        <v>45673.597337962965</v>
      </c>
      <c r="C4" t="s">
        <v>15</v>
      </c>
      <c r="D4">
        <v>2</v>
      </c>
      <c r="E4" t="s">
        <v>25</v>
      </c>
      <c r="F4" t="s">
        <v>26</v>
      </c>
      <c r="G4" t="s">
        <v>27</v>
      </c>
      <c r="H4" t="s">
        <v>19</v>
      </c>
      <c r="I4" t="s">
        <v>28</v>
      </c>
      <c r="J4">
        <v>2</v>
      </c>
      <c r="K4" t="s">
        <v>29</v>
      </c>
      <c r="L4" t="s">
        <v>30</v>
      </c>
      <c r="M4">
        <v>1</v>
      </c>
      <c r="N4">
        <v>19800</v>
      </c>
      <c r="O4">
        <v>19800</v>
      </c>
    </row>
    <row r="5" spans="1:15" x14ac:dyDescent="0.25">
      <c r="A5">
        <v>3</v>
      </c>
      <c r="B5" s="1">
        <v>46040.344097222223</v>
      </c>
      <c r="C5" t="s">
        <v>15</v>
      </c>
      <c r="D5">
        <v>3</v>
      </c>
      <c r="E5" t="s">
        <v>31</v>
      </c>
      <c r="F5" t="s">
        <v>32</v>
      </c>
      <c r="G5" t="s">
        <v>33</v>
      </c>
      <c r="H5" t="s">
        <v>19</v>
      </c>
      <c r="I5" t="s">
        <v>34</v>
      </c>
      <c r="J5">
        <v>3</v>
      </c>
      <c r="K5" t="s">
        <v>35</v>
      </c>
      <c r="L5" t="s">
        <v>30</v>
      </c>
      <c r="M5">
        <v>1</v>
      </c>
      <c r="N5">
        <v>12600</v>
      </c>
      <c r="O5">
        <v>12600</v>
      </c>
    </row>
    <row r="6" spans="1:15" x14ac:dyDescent="0.25">
      <c r="A6">
        <v>3</v>
      </c>
      <c r="B6" s="1">
        <v>46040.344097222223</v>
      </c>
      <c r="C6" t="s">
        <v>15</v>
      </c>
      <c r="D6">
        <v>3</v>
      </c>
      <c r="E6" t="s">
        <v>31</v>
      </c>
      <c r="F6" t="s">
        <v>32</v>
      </c>
      <c r="G6" t="s">
        <v>33</v>
      </c>
      <c r="H6" t="s">
        <v>19</v>
      </c>
      <c r="I6" t="s">
        <v>34</v>
      </c>
      <c r="J6">
        <v>5</v>
      </c>
      <c r="K6" t="s">
        <v>36</v>
      </c>
      <c r="L6" t="s">
        <v>24</v>
      </c>
      <c r="M6">
        <v>1</v>
      </c>
      <c r="N6">
        <v>4500</v>
      </c>
      <c r="O6">
        <v>4500</v>
      </c>
    </row>
    <row r="7" spans="1:15" x14ac:dyDescent="0.25">
      <c r="A7">
        <v>3</v>
      </c>
      <c r="B7" s="1">
        <v>46040.344097222223</v>
      </c>
      <c r="C7" t="s">
        <v>15</v>
      </c>
      <c r="D7">
        <v>3</v>
      </c>
      <c r="E7" t="s">
        <v>31</v>
      </c>
      <c r="F7" t="s">
        <v>32</v>
      </c>
      <c r="G7" t="s">
        <v>33</v>
      </c>
      <c r="H7" t="s">
        <v>19</v>
      </c>
      <c r="I7" t="s">
        <v>34</v>
      </c>
      <c r="J7">
        <v>6</v>
      </c>
      <c r="K7" t="s">
        <v>37</v>
      </c>
      <c r="L7" t="s">
        <v>24</v>
      </c>
      <c r="M7">
        <v>1</v>
      </c>
      <c r="N7">
        <v>7000</v>
      </c>
      <c r="O7">
        <v>7000</v>
      </c>
    </row>
    <row r="8" spans="1:15" x14ac:dyDescent="0.25">
      <c r="A8">
        <v>4</v>
      </c>
      <c r="B8" s="1">
        <v>46042.510763888888</v>
      </c>
      <c r="C8" t="s">
        <v>38</v>
      </c>
      <c r="D8">
        <v>3</v>
      </c>
      <c r="E8" t="s">
        <v>31</v>
      </c>
      <c r="F8" t="s">
        <v>32</v>
      </c>
      <c r="G8" t="s">
        <v>33</v>
      </c>
      <c r="H8" t="s">
        <v>19</v>
      </c>
      <c r="I8" t="s">
        <v>34</v>
      </c>
      <c r="J8">
        <v>7</v>
      </c>
      <c r="K8" t="s">
        <v>39</v>
      </c>
      <c r="L8" t="s">
        <v>22</v>
      </c>
      <c r="M8">
        <v>1</v>
      </c>
      <c r="N8">
        <v>5000</v>
      </c>
      <c r="O8">
        <v>5000</v>
      </c>
    </row>
    <row r="9" spans="1:15" x14ac:dyDescent="0.25">
      <c r="A9">
        <v>5</v>
      </c>
      <c r="B9" s="1">
        <v>45393.513888888891</v>
      </c>
      <c r="C9" t="s">
        <v>15</v>
      </c>
      <c r="D9">
        <v>4</v>
      </c>
      <c r="E9" t="s">
        <v>40</v>
      </c>
      <c r="F9" t="s">
        <v>41</v>
      </c>
      <c r="G9" t="s">
        <v>42</v>
      </c>
      <c r="H9" t="s">
        <v>19</v>
      </c>
      <c r="I9" t="s">
        <v>43</v>
      </c>
      <c r="J9">
        <v>2</v>
      </c>
      <c r="K9" t="s">
        <v>29</v>
      </c>
      <c r="L9" t="s">
        <v>30</v>
      </c>
      <c r="M9">
        <v>2</v>
      </c>
      <c r="N9">
        <v>19800</v>
      </c>
      <c r="O9">
        <v>39600</v>
      </c>
    </row>
    <row r="10" spans="1:15" x14ac:dyDescent="0.25">
      <c r="A10">
        <v>5</v>
      </c>
      <c r="B10" s="1">
        <v>45393.513888888891</v>
      </c>
      <c r="C10" t="s">
        <v>15</v>
      </c>
      <c r="D10">
        <v>4</v>
      </c>
      <c r="E10" t="s">
        <v>40</v>
      </c>
      <c r="F10" t="s">
        <v>41</v>
      </c>
      <c r="G10" t="s">
        <v>42</v>
      </c>
      <c r="H10" t="s">
        <v>19</v>
      </c>
      <c r="I10" t="s">
        <v>43</v>
      </c>
      <c r="J10">
        <v>4</v>
      </c>
      <c r="K10" t="s">
        <v>23</v>
      </c>
      <c r="L10" t="s">
        <v>24</v>
      </c>
      <c r="M10">
        <v>1</v>
      </c>
      <c r="N10">
        <v>19800</v>
      </c>
      <c r="O10">
        <v>19800</v>
      </c>
    </row>
    <row r="11" spans="1:15" x14ac:dyDescent="0.25">
      <c r="A11">
        <v>6</v>
      </c>
      <c r="B11" s="1">
        <v>45427.736111111109</v>
      </c>
      <c r="C11" t="s">
        <v>15</v>
      </c>
      <c r="D11">
        <v>4</v>
      </c>
      <c r="E11" t="s">
        <v>40</v>
      </c>
      <c r="F11" t="s">
        <v>41</v>
      </c>
      <c r="G11" t="s">
        <v>42</v>
      </c>
      <c r="H11" t="s">
        <v>19</v>
      </c>
      <c r="I11" t="s">
        <v>43</v>
      </c>
      <c r="J11">
        <v>1</v>
      </c>
      <c r="K11" t="s">
        <v>21</v>
      </c>
      <c r="L11" t="s">
        <v>22</v>
      </c>
      <c r="M11">
        <v>1</v>
      </c>
      <c r="N11">
        <v>5400</v>
      </c>
      <c r="O11">
        <v>5400</v>
      </c>
    </row>
    <row r="12" spans="1:15" x14ac:dyDescent="0.25">
      <c r="A12">
        <v>7</v>
      </c>
      <c r="B12" s="1">
        <v>45231.472222222219</v>
      </c>
      <c r="C12" t="s">
        <v>15</v>
      </c>
      <c r="D12">
        <v>5</v>
      </c>
      <c r="E12" t="s">
        <v>44</v>
      </c>
      <c r="F12" t="s">
        <v>45</v>
      </c>
      <c r="G12" t="s">
        <v>46</v>
      </c>
      <c r="H12" t="s">
        <v>19</v>
      </c>
      <c r="I12" t="s">
        <v>34</v>
      </c>
      <c r="J12">
        <v>7</v>
      </c>
      <c r="K12" t="s">
        <v>39</v>
      </c>
      <c r="L12" t="s">
        <v>22</v>
      </c>
      <c r="M12">
        <v>3</v>
      </c>
      <c r="N12">
        <v>5000</v>
      </c>
      <c r="O12">
        <v>15000</v>
      </c>
    </row>
    <row r="13" spans="1:15" x14ac:dyDescent="0.25">
      <c r="A13">
        <v>8</v>
      </c>
      <c r="B13" s="1">
        <v>45342.562731481485</v>
      </c>
      <c r="C13" t="s">
        <v>15</v>
      </c>
      <c r="D13">
        <v>5</v>
      </c>
      <c r="E13" t="s">
        <v>44</v>
      </c>
      <c r="F13" t="s">
        <v>45</v>
      </c>
      <c r="G13" t="s">
        <v>46</v>
      </c>
      <c r="H13" t="s">
        <v>19</v>
      </c>
      <c r="I13" t="s">
        <v>34</v>
      </c>
      <c r="J13">
        <v>6</v>
      </c>
      <c r="K13" t="s">
        <v>37</v>
      </c>
      <c r="L13" t="s">
        <v>24</v>
      </c>
      <c r="M13">
        <v>1</v>
      </c>
      <c r="N13">
        <v>7000</v>
      </c>
      <c r="O13">
        <v>7000</v>
      </c>
    </row>
    <row r="14" spans="1:15" x14ac:dyDescent="0.25">
      <c r="A14">
        <v>9</v>
      </c>
      <c r="B14" s="1">
        <v>46044.409895833334</v>
      </c>
      <c r="C14" t="s">
        <v>38</v>
      </c>
      <c r="D14">
        <v>5</v>
      </c>
      <c r="E14" t="s">
        <v>44</v>
      </c>
      <c r="F14" t="s">
        <v>45</v>
      </c>
      <c r="G14" t="s">
        <v>46</v>
      </c>
      <c r="H14" t="s">
        <v>19</v>
      </c>
      <c r="I14" t="s">
        <v>34</v>
      </c>
      <c r="J14">
        <v>5</v>
      </c>
      <c r="K14" t="s">
        <v>36</v>
      </c>
      <c r="L14" t="s">
        <v>24</v>
      </c>
      <c r="M14">
        <v>1</v>
      </c>
      <c r="N14">
        <v>4500</v>
      </c>
      <c r="O14">
        <v>4500</v>
      </c>
    </row>
    <row r="15" spans="1:15" x14ac:dyDescent="0.25">
      <c r="A15">
        <v>10</v>
      </c>
      <c r="B15" s="1">
        <v>45698.513888888891</v>
      </c>
      <c r="C15" t="s">
        <v>15</v>
      </c>
      <c r="D15">
        <v>6</v>
      </c>
      <c r="E15" t="s">
        <v>47</v>
      </c>
      <c r="F15" t="s">
        <v>48</v>
      </c>
      <c r="G15" t="s">
        <v>49</v>
      </c>
      <c r="H15" t="s">
        <v>19</v>
      </c>
      <c r="I15" t="s">
        <v>50</v>
      </c>
      <c r="J15">
        <v>4</v>
      </c>
      <c r="K15" t="s">
        <v>23</v>
      </c>
      <c r="L15" t="s">
        <v>24</v>
      </c>
      <c r="M15">
        <v>1</v>
      </c>
      <c r="N15">
        <v>19800</v>
      </c>
      <c r="O15">
        <v>19800</v>
      </c>
    </row>
    <row r="16" spans="1:15" x14ac:dyDescent="0.25">
      <c r="A16">
        <v>11</v>
      </c>
      <c r="B16" s="1">
        <v>45721.78125</v>
      </c>
      <c r="C16" t="s">
        <v>15</v>
      </c>
      <c r="D16">
        <v>6</v>
      </c>
      <c r="E16" t="s">
        <v>47</v>
      </c>
      <c r="F16" t="s">
        <v>48</v>
      </c>
      <c r="G16" t="s">
        <v>49</v>
      </c>
      <c r="H16" t="s">
        <v>19</v>
      </c>
      <c r="I16" t="s">
        <v>50</v>
      </c>
      <c r="J16">
        <v>1</v>
      </c>
      <c r="K16" t="s">
        <v>21</v>
      </c>
      <c r="L16" t="s">
        <v>22</v>
      </c>
      <c r="M16">
        <v>2</v>
      </c>
      <c r="N16">
        <v>5400</v>
      </c>
      <c r="O16">
        <v>10800</v>
      </c>
    </row>
    <row r="17" spans="1:15" x14ac:dyDescent="0.25">
      <c r="A17">
        <v>11</v>
      </c>
      <c r="B17" s="1">
        <v>45721.78125</v>
      </c>
      <c r="C17" t="s">
        <v>15</v>
      </c>
      <c r="D17">
        <v>6</v>
      </c>
      <c r="E17" t="s">
        <v>47</v>
      </c>
      <c r="F17" t="s">
        <v>48</v>
      </c>
      <c r="G17" t="s">
        <v>49</v>
      </c>
      <c r="H17" t="s">
        <v>19</v>
      </c>
      <c r="I17" t="s">
        <v>50</v>
      </c>
      <c r="J17">
        <v>2</v>
      </c>
      <c r="K17" t="s">
        <v>29</v>
      </c>
      <c r="L17" t="s">
        <v>30</v>
      </c>
      <c r="M17">
        <v>1</v>
      </c>
      <c r="N17">
        <v>19800</v>
      </c>
      <c r="O17">
        <v>19800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Total_Sales_by_Category_Year</vt:lpstr>
      <vt:lpstr>Sales_by_month</vt:lpstr>
      <vt:lpstr>Top_customers_by_revenue</vt:lpstr>
      <vt:lpstr>Average_Order_Value </vt:lpstr>
      <vt:lpstr>e_sale_analysis_final_data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Miroslav1</dc:creator>
  <cp:lastModifiedBy>Miroslav1</cp:lastModifiedBy>
  <dcterms:created xsi:type="dcterms:W3CDTF">2026-01-25T23:40:08Z</dcterms:created>
  <dcterms:modified xsi:type="dcterms:W3CDTF">2026-01-30T17:09:55Z</dcterms:modified>
</cp:coreProperties>
</file>